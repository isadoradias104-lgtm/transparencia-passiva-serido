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500"/>
  </bookViews>
  <sheets>
    <sheet name="Quadro 1" sheetId="1" r:id="rId1"/>
    <sheet name="Quadro 2" sheetId="2" r:id="rId2"/>
    <sheet name="Quadro 3" sheetId="3" r:id="rId3"/>
    <sheet name="Controle de envios" sheetId="7" r:id="rId4"/>
    <sheet name="Aplicação dos critérios" sheetId="6" r:id="rId5"/>
    <sheet name="Gráfico 1" sheetId="4" r:id="rId6"/>
    <sheet name="Gráfico 2" sheetId="5"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6" i="5" l="1"/>
  <c r="B27" i="5"/>
</calcChain>
</file>

<file path=xl/sharedStrings.xml><?xml version="1.0" encoding="utf-8"?>
<sst xmlns="http://schemas.openxmlformats.org/spreadsheetml/2006/main" count="264" uniqueCount="158">
  <si>
    <t>Etapas</t>
  </si>
  <si>
    <t>Descrição</t>
  </si>
  <si>
    <t>Foram identificados 23 municípios, sendo eles: Acari, Bodó, Caicó, Carnaúba dos Dantas, Cerro Corá, Cruzeta, Currais Novos, Equador, Florânia, Jardim de Piranhas, Jardim do Seridó, Jucurutu, Lagoa Nova, Ouro Branco, Parelhas, Santana do Seridó, São Fernando, São João do Sabugi, São José do Seridó, São Vicente, Serra Negra do Norte, Tenente Laurentino Cruz, Timbaúba dos Batistas.</t>
  </si>
  <si>
    <t>Um mesmo pedido de informação foi elaborado e encaminhado às 23 câmaras municipais, com o seguinte teor: No ano de 2025, qual foi o valor total pago por esta Câmara Municipal a título de verba indenizatória dos vereadores? Solicito, ainda, que seja informado: a) o valor mensal da verba indenizatória prevista para cada vereador; b) o valor efetivamente pago a cada vereador em cada mês; e c) o total anual desembolsado com verba indenizatória no exercício.</t>
  </si>
  <si>
    <t>Realizou-se a busca dos canais eletrônicos institucionais das câmaras municipais selecionadas, utilizando o mecanismo de busca Google. Essa etapa foi essencial para verificar a existência e acessibilidade dos canais de comunicação e atendimento ao cidadão.</t>
  </si>
  <si>
    <t xml:space="preserve">O envio das solicitações foi realizado em 30 de dezembro de 2025 e seguiu, de forma adaptada, a ordem de prioridade sugerida por Dreher e Raupp (2020): 
1: Por meio do Serviço de Informação ao Cidadão (e-SIC), quando disponível; 
2: Na ausência ou falha deste, por meio de e-mail institucional;
3: Nas situações em que não foi possível localizar um canal específico de atendimento ao cidadão, o envio do pedido de informação foi realizado por meio de formulários genéricos de contato, como a seção “Fale Conosco”.
</t>
  </si>
  <si>
    <t>Observação</t>
  </si>
  <si>
    <t>Pontuação</t>
  </si>
  <si>
    <t>Critérios</t>
  </si>
  <si>
    <t>Tempestividade</t>
  </si>
  <si>
    <t>Completude da informação</t>
  </si>
  <si>
    <t>Clareza e inteligibilidade</t>
  </si>
  <si>
    <t>Disponibilização da informação</t>
  </si>
  <si>
    <t>Resposta dentro do prazo legal (até 20 dias).</t>
  </si>
  <si>
    <t>Resposta com prorrogação justificada.</t>
  </si>
  <si>
    <t>Resposta fora do prazo ou ausência de resposta.</t>
  </si>
  <si>
    <t>Responde integralmente a todos os itens solicitados.</t>
  </si>
  <si>
    <t>Responde parcialmente.</t>
  </si>
  <si>
    <t>Resposta incompleta ou evasiva.</t>
  </si>
  <si>
    <t>Linguagem clara, direta e compreensível ao cidadão comum.</t>
  </si>
  <si>
    <t>Linguagem técnica ou confusa, mas compreensível.</t>
  </si>
  <si>
    <t>Linguagem incompreensível ou resposta genérica.</t>
  </si>
  <si>
    <t>Informação enviada diretamente no corpo da resposta.</t>
  </si>
  <si>
    <t>Informação enviada apenas por links ou anexos sem orientação.</t>
  </si>
  <si>
    <t>Informação não fornecida ou link indisponível.</t>
  </si>
  <si>
    <t>2 pontos</t>
  </si>
  <si>
    <t>1 ponto</t>
  </si>
  <si>
    <t>0 ponto</t>
  </si>
  <si>
    <t>Resultados</t>
  </si>
  <si>
    <t>Alta efetividade (7-8 pontos)</t>
  </si>
  <si>
    <t>Efetividade moderada (4–6 pontos)</t>
  </si>
  <si>
    <t>Baixa efetividade (1–3 pontos)</t>
  </si>
  <si>
    <t>Inexistente (0 ponto)</t>
  </si>
  <si>
    <t>Atendimento tempestivo, completo e acessível, demonstrando maturidade administrativa.</t>
  </si>
  <si>
    <t>Atendimento parcial, com falhas pontuais de prazo, clareza ou completude.</t>
  </si>
  <si>
    <t>Respostas incompletas, tardias ou de difícil compreensão.</t>
  </si>
  <si>
    <t>Ausência de resposta ou negativa injustificada de acesso à informação.</t>
  </si>
  <si>
    <t>Classificação da efetividade</t>
  </si>
  <si>
    <t>Pontuação final</t>
  </si>
  <si>
    <t>Câmara Municipal</t>
  </si>
  <si>
    <t>Alta efetividade</t>
  </si>
  <si>
    <t>Efetividade moderada</t>
  </si>
  <si>
    <t>Baixa efetividade</t>
  </si>
  <si>
    <t>Inexistente</t>
  </si>
  <si>
    <t>7-8 pontos</t>
  </si>
  <si>
    <t>4-6 pontos</t>
  </si>
  <si>
    <t>1-3 pontos</t>
  </si>
  <si>
    <t>Acari (8); Caicó (8); Carnaúba dos Dantas (7); Cruzeta (8); Florânia (8); Parelhas (7); Santana do Seridó (8); São João do Sabugi (8).</t>
  </si>
  <si>
    <t>-</t>
  </si>
  <si>
    <t>São José do Seridó</t>
  </si>
  <si>
    <t>Acari</t>
  </si>
  <si>
    <t>Caicó</t>
  </si>
  <si>
    <t>Carnaúba dos Dantas</t>
  </si>
  <si>
    <t>Cruzeta</t>
  </si>
  <si>
    <t>Currais Novos</t>
  </si>
  <si>
    <t>Florânia</t>
  </si>
  <si>
    <t>Jardim do Seridó</t>
  </si>
  <si>
    <t>Parelhas</t>
  </si>
  <si>
    <t>Santana do Seridó</t>
  </si>
  <si>
    <t>São José do Sabugi</t>
  </si>
  <si>
    <t>Bodó</t>
  </si>
  <si>
    <t>Cerro Corá</t>
  </si>
  <si>
    <t>Equador</t>
  </si>
  <si>
    <t>Jardim de Piranhas</t>
  </si>
  <si>
    <t>Jucurutu</t>
  </si>
  <si>
    <t>Lagoa Nova</t>
  </si>
  <si>
    <t>Critério</t>
  </si>
  <si>
    <t>Situação observada</t>
  </si>
  <si>
    <t>Ouro Branco</t>
  </si>
  <si>
    <t>São Fernando</t>
  </si>
  <si>
    <t>São João do Sabugi</t>
  </si>
  <si>
    <t>São Vicente</t>
  </si>
  <si>
    <t>Serra Negra do Norte</t>
  </si>
  <si>
    <t>Tenente Laurentino Cruz</t>
  </si>
  <si>
    <t>Timbaúba dos Batistas</t>
  </si>
  <si>
    <t>Resposta enviada até 20 dias, dentro do prazo legal</t>
  </si>
  <si>
    <t>Resposta enviada entre 21 e 30 dias, com prorrogação formalmente justificada</t>
  </si>
  <si>
    <t>Resposta enviada após 20 dias, sem justificativa de prorrogação</t>
  </si>
  <si>
    <t>Ausência de resposta</t>
  </si>
  <si>
    <t>Completude</t>
  </si>
  <si>
    <t>Informação fornecida integralmente, atendendo a todos os itens solicitados</t>
  </si>
  <si>
    <t>Informação parcialmente fornecida</t>
  </si>
  <si>
    <t>Informação incompleta, genérica ou evasiva</t>
  </si>
  <si>
    <t>Linguagem clara, objetiva e compreensível ao cidadão comum</t>
  </si>
  <si>
    <t>Linguagem excessivamente técnica ou pouco objetiva</t>
  </si>
  <si>
    <t>Linguagem confusa ou ininteligível</t>
  </si>
  <si>
    <t>Disponibilização</t>
  </si>
  <si>
    <t>Informação disponibilizada diretamente no corpo da resposta</t>
  </si>
  <si>
    <t>Informação disponibilizada apenas por links ou anexos, sem orientação adequada</t>
  </si>
  <si>
    <t>Informação não disponibilizada ou link inacessível</t>
  </si>
  <si>
    <t>TOTAL</t>
  </si>
  <si>
    <t>Município</t>
  </si>
  <si>
    <t>Link do Portal</t>
  </si>
  <si>
    <t>Data da solicitação</t>
  </si>
  <si>
    <t>e-SIC</t>
  </si>
  <si>
    <t>Status</t>
  </si>
  <si>
    <t>Data de resposta</t>
  </si>
  <si>
    <t>Resposta/Observação</t>
  </si>
  <si>
    <t>https://www.acari.rn.leg.br/</t>
  </si>
  <si>
    <t>Formulário e-SIC</t>
  </si>
  <si>
    <t>Respondida</t>
  </si>
  <si>
    <t>https://www.bodo.rn.leg.br/</t>
  </si>
  <si>
    <t>Formulário e-sic apresentou erro, não sendo pssível concluir o envio da solicitação; não há informaçoes sobre e-mail instituicional disponibilizado; a solicitação foi enviada por meio de fomulário genérico disponibilizado no portal como "Contato". Após o envio não houve qualquer manifestação sobre confirmação de recebimento do contato.</t>
  </si>
  <si>
    <t>Não respondida</t>
  </si>
  <si>
    <t>https://www.caico.rn.leg.br/</t>
  </si>
  <si>
    <t>Fala.Br</t>
  </si>
  <si>
    <t>https://www.carnaubadosdantas.rn.leg.br/</t>
  </si>
  <si>
    <t>https://cerrocora.rn.leg.br/</t>
  </si>
  <si>
    <t>Email</t>
  </si>
  <si>
    <t>https://www.cruzeta.rn.leg.br/</t>
  </si>
  <si>
    <t>SisGov</t>
  </si>
  <si>
    <t>https://www.curraisnovos.rn.leg.br/</t>
  </si>
  <si>
    <t>https://www.equador.rn.leg.br/</t>
  </si>
  <si>
    <t>Formulário via Forms</t>
  </si>
  <si>
    <t>https://www.florania.rn.leg.br/</t>
  </si>
  <si>
    <t>https://camarajardimdepiranhas.rn.gov.br/</t>
  </si>
  <si>
    <t>https://jardimdoserido.rn.leg.br/pagina-inicial/c%C3%A2mara-municipal-de-jardim-do-serid%C3%B3</t>
  </si>
  <si>
    <t>https://www.jucurutu.rn.leg.br/</t>
  </si>
  <si>
    <t>https://lagoanova.rn.leg.br/</t>
  </si>
  <si>
    <t>https://cmob.rn.gov.br/</t>
  </si>
  <si>
    <t>Formulário e-sic apresentou erro, não sendo pssível concluir o envio da solicitação; o e-mail institucional foi identificado e a solicitação enviada.</t>
  </si>
  <si>
    <t>Respondida após o prazo</t>
  </si>
  <si>
    <t>Câmara Municipal de Parelhas</t>
  </si>
  <si>
    <t>https://www.santanadoserido.rn.leg.br/</t>
  </si>
  <si>
    <t>A CM Santana do Seridó não dispõe de verbas indenizatórias, conforme link disponível no site https://cmsantanadoserido.ageassessoria.com.br/c/m8nf1k5175</t>
  </si>
  <si>
    <t>https://cmsaofernando.rn.gov.br/</t>
  </si>
  <si>
    <t>https://www.saojoaodosabugi.rn.leg.br/</t>
  </si>
  <si>
    <t>https://www.saojosedoserido.rn.leg.br/</t>
  </si>
  <si>
    <t>https://camarasaovicente.rn.gov.br/</t>
  </si>
  <si>
    <t>https://cmserranegradonorte.rn.gov.br/</t>
  </si>
  <si>
    <t>https://www.tenentelaurentinocruz.rn.leg.br/</t>
  </si>
  <si>
    <t>https://www.timbaubadosbatistas.rn.leg.br/</t>
  </si>
  <si>
    <t>Obs: Para acompanhar a solicitação é necessário protocolo, no entanto, não foi fornecido nenhum protocolo após soliictação realizada. Inclusive, devido o formulário aparentar não ser confiável, foi solicitado também por e-mail, cujo meio não deu nenhum retorno.</t>
  </si>
  <si>
    <t>Resposta: Em atenção à manifestação encaminhada à Ouvidoria desta Câmara Municipal, na qual se solicita informação acerca dos valores pagos a título de verba indenizatória aos vereadores no exercício de 2025, esclarecemos que a Câmara Municipal de Acari não possui regulamentação instituindo verba indenizatória para os parlamentares, inexistindo, portanto, previsão normativa ou orçamentária para o pagamento dessa espécie de despesa. Dessa forma, informamos que não houve qualquer pagamento de verba indenizatória a vereadores em nenhum mês do exercício de 2025. 
Permanecemos à disposição para eventuais esclarecimentos adicionais. 
Atenciosamente, 
Ouvidoria da Câmara Municipal de Acari</t>
  </si>
  <si>
    <t>Resposta: A Ouvidoria da Câmara Municipal de Caicó agradece o contato e, em atenção à solicitação, apresenta as informações requeridas: 
1. Total anual pago a título de verba indenizatória em 2025 
R$ 677.585,26 
2. Valor mensal previsto da verba indenizatória por vereador 
2025: R$ 4.400,00 
2026: R$ 1.000,00 
3. Valores efetivamente pagos (total mensal do Parlamento) 
Janeiro: R$ 0,00 (recesso parlamentar) 
Fevereiro: R$ 60.082,65 
Março: R$ 61.313,90 
Abril: R$ 60.237,33 
Maio: R$ 61.165,29 
Junho: R$ 60.406,96 
Julho: R$ 62.680,39 
Agosto: R$ 61.540,22 
Setembro: R$ 60.743,22 
Outubro: R$ 59.823,62 
Novembro: R$ 65.980,60 
Dezembro: R$ 63.611,08 
4. Total anual desembolsado no exercício 
R$ 677.585,26 
Esclarecemos que os valores correspondem a ressarcimentos devidamente comprovados, conforme a regulamentação vigente, e que as informações detalhadas (inclusive por vereador) encontram-se disponíveis no Portal da Transparência da Câmara Municipal de Caicó: 
https://www.caico.rn.leg.br/processo-legislativo/poder-legislativo/regulamentacao-verbas-indenizatorias/2025 
A Ouvidoria permanece à disposição para eventuais esclarecimentos adicionais.</t>
  </si>
  <si>
    <t>Resposta: Prezada(o) cidadã(o), 
Em atenção ao pedido de informação, esclarecemos que, no âmbito da Câmara Municipal de Carnaúba dos Dantas, a verba indenizatória paga aos vereadores e servidores da Câmara Municipal corresponde exclusivamente às diárias, concedidas nos termos da legislação municipal vigente, com a finalidade de indenizar despesas de deslocamento, alimentação e hospedagem em razão de viagens oficiais no exercício do mandato parlamentar. 
Informamos que houve pagamento de diárias no período solicitado, sendo que todas as concessões, valores e respectivos beneficiários encontram-se disponíveis para consulta no Portal da Transparência, por meio do seguinte link: 
https://transparencia.agilirn.com.br/camcarnaubadantas-rn/despesas/despesas-diarias 
Esclarecemos, ainda, que não existe no âmbito da Câmara Municipal de Carnaúba dos Dantas qualquer outro tipo de verba indenizatória destinada aos vereadores, tais como: 
" auxílio-alimentação; 
" auxílio-moradia; 
" verba de gabinete; 
" cota parlamentar; 
" ressarcimento mensal fixo; 
" ajuda de custo permanente; 
" ou qualquer benefício de natureza semelhante. 
Dessa forma, os valores pagos a título de diárias representam a totalidade das despesas com verba indenizatória dos vereadores, inexistindo outros pagamentos dessa natureza. 
Permanecemos à disposição para quaisquer esclarecimentos adicionais. 
Atenciosamente, 
Ouvidoria da Câmara Municipal de Carnaúba dos Dantas/RN</t>
  </si>
  <si>
    <t>Resposta: Em atenção a sua solicitação, informamos que no ano de 2025 a Câmara Municipal de Cruzeta não pagou nenhum valor aos vereadores, a título de verba indenizatória, apesar de existir uma regulamentação que cria verba indenizatória em favor dos vereadores (Lei N° 885 de 23 de abril de 2007). 
Essa e outras informações estão disponibilizadas no nosso sítio eletrônico: https://www.cruzeta.rn.leg.br/ , na seguinte aba: 
https://www.cruzeta.rn.leg.br/transparencia/transparencia/processos-legislativos/poder-legislativo/regulamentacao-verbas-indenizatorias 
Agradecemos o contato, e estamos a disposição para quaisquer esclarecimentos e/ou dúvidas. 
Dalila Almeida 
Responsável pelo atendimento E-SIC.</t>
  </si>
  <si>
    <t>Resposta: Os dados solicitados estão disponíveis no Portal de Transparência da Câmara Municipal de Currais Novos, o qual pode ser acessado a partir do seguinte endereço: https://www.curraisnovos.rn.leg.br/processo-legislativo/poder-legislativo/regulamentacao-verbas-indenizatorias-1/2025</t>
  </si>
  <si>
    <t>Obs: O acompanhamento da solicitação também é por meio de um formulário no forms. Foi preenchido dia 13/01, mas não houve nenhum retorno até a data limite.</t>
  </si>
  <si>
    <t>Resposta: Em atenção à solicitação registrada nesta Ouvidoria/e-SIC, que requer informações acerca das verbas indenizatórias pagas aos vereadores desta Câmara Municipal, prestamos os esclarecimentos a seguir, com base nos dados fornecidos pelo setor contábil e na legislação vigente: I) Valor mensal da verba indenizatória prevista para cada vereador Conforme disposto em lei, os valores mensais da verba indenizatória são os seguintes: Auxílio-Alimentação: R$ 1.850,00, nos termos da Lei nº 992/2023; Vereador Presidente da Mesa Diretora: R$ 3.114,26, conforme Lei nº 1.056/2025, art. 1º, inciso I; Vereador Membro da Mesa Diretora: R$ 2.076,15, conforme Lei nº 1.056/2025, art. 1º, inciso II. II) Valor efetivamente pago a cada vereador, por mês De acordo com os registros contábeis, os valores pagos mensalmente foram: Vereador Presidente da Mesa Diretora: R$ 4.964,26; Vereador Membro da Mesa Diretora: R$ 3.926,15; Demais Vereadores: R$ 1.850,00. Os valores acima correspondem à soma das verbas indenizatórias aplicáveis a cada função exercida. III) Total anual desembolsado com verba indenizatória no exercício O montante total desembolsado com verbas indenizatórias no exercício informado foi de: R$ 285.661,15 (duzentos e oitenta e cinco mil, seiscentos e sessenta e um reais e quinze centavos). Ressaltamos que todas as despesas mencionadas observam a legislação municipal vigente e encontram-se devidamente registradas na contabilidade desta Casa Legislativa. Permanecemos à disposição para quaisquer outros esclarecimentos que se façam necessários. Atenciosamente, Ouvidoria da Câmara Municipal Câmara Municipal de Flôrania</t>
  </si>
  <si>
    <t>Resposta: A Lei Complementar Nº 1.402, de 21 de dezembro de 2023 aprovou a regulamentação da concessão de auxílio alimentação no âmbito da Câmara Municipal de Jardim do Seridó-RN. No exercício de 2025 o total anual gasto com a referida indenização foi de R$ 98.100,00 (noventa e oito mil e cem reais) 
a) O valor mensal de auxílio alimentação no exercício de 2025 foi o seguinte: 
No período de janeiro a maio/2025 o valor mensal pago a cada vereador foi de R$ 500,00; 
A Lei Ordinária Nº 1.473, de 24 de Junho de 2025, aprovou o reajuste do valor mensal do auxílio alimentação dos vereadores. No período de junho a dezembro/2025 o valor mensal foi de R$ 1.200,00; 
b) O total anual desembolsado no exercício de 2025, conforme informado acima, foi R$ 98.100,00 (noventa e oito mil e cem reais).</t>
  </si>
  <si>
    <t>Obs: Ao tentar acompanhar a solicitação, é pedido a "identificação da solicitação", no entanto, no ato do pedido, nao foi fornecido nenhum número de protocolo ou algo do tipo. Além disso, foi informado que haveria avisos por e-mail quando houvesse resposta, o que não ocorreu. Logo, entende-se como solicitação não respondida.</t>
  </si>
  <si>
    <t>Obs: Resposta enviada após o prazo, por meio de e-mail, cujo conteúdo consistia em um link para acesso à resposta. Ocorre que, ao clicar no referido link, foi apresentado erro. Diante disso, tentou-se, alternativamente, realizar o acompanhamento por meio do formulário, considerando a possibilidade de o link disponibilizado direcionar a esse canal. Contudo, o formulário exige a inserção do número de protocolo da solicitação, informação que não foi fornecida, uma vez que a solicitação não foi realizada por esse meio.</t>
  </si>
  <si>
    <t>Resposta: Caro cidadão, 
Em resposta à manifestação registrada nesta Ouvidoria, classificada como Pedido de Acesso à Informação, por meio da qual são solicitados esclarecimentos sobre o pagamento de verbas indenizatórias aos Vereadores no exercício de 2025, a Câmara Municipal de Parelhas informa o que segue: 
No âmbito desta Câmara Municipal, não existe norma interna, lei ou ato administrativo que autorize o pagamento de verba indenizatória aos Vereadores. 
Dessa forma, no ano de 2025 não foi realizado qualquer pagamento a título de verba indenizatória, uma vez que inexiste previsão legal para tal despesa no Município de Parelhas. 
Em razão disso, informamos que: 
a) Não há valor mensal de verba indenizatória previsto para cada Vereador; 
b) Não houve pagamento de verba indenizatória a nenhum Vereador em qualquer mês do ano de 2025; 
c) O total anual desembolsado com verba indenizatória no exercício de 2025 corresponde a R$ 0,00 (zero reais). 
Esclarece-se, ainda, que os únicos valores percebidos pelos Vereadores do Município de Parelhas são: 
o subsídio mensal; 
o décimo terceiro subsídio; e 
diárias, quando eventualmente devidas, exclusivamente em razão da participação em eventos realizados fora do município, conforme a legislação vigente. 
Esperamos ter atendido ao Pedido de Acesso à Informação. Permanecemos à disposição para quaisquer outros esclarecimentos por meio desta Ouvidoria. 
Atenciosamente, 
Ouvidoria 
Câmara Municipal de Parelhas</t>
  </si>
  <si>
    <t xml:space="preserve">
Resposta: Assunto: Resposta ao pedido de informações – Verba Indenizatória dos Vereadores (Exercício 2025) 
Prezado(a) Senhor(a), 
Em atenção à manifestação registrada junto à Ouvidoria desta Câmara Municipal, por meio da qual solicita informações acerca dos valores pagos a título de verba indenizatória aos Vereadores no exercício de 2025, prestamos os esclarecimentos a seguir: 
Após consulta aos setores competentes, esclarece-se que não há, no âmbito desta Câmara Municipal, regulamentação legal ou normativa que institua verba indenizatória para os Vereadores. 
Dessa forma, segue resposta aos questionamentos feitos: 
a) Valor mensal da verba indenizatória prevista para cada Vereador: 
Inexistente, tendo em vista a ausência de previsão legal e regulamentação específica. 
b) Valor efetivamente pago a cada Vereador em cada mês: 
Não houve qualquer pagamento de verba indenizatória a Vereadores em nenhum mês do exercício de 2025. 
c) Total anual desembolsado com verba indenizatória no exercício de 2025: 
R$ 0,00 (zero reais). 
Ressaltamos que esta Câmara Municipal observa estritamente os princípios da legalidade, da publicidade e da transparência, nos termos da Constituição Federal e da Lei nº 12.527/2011 (Lei de Acesso à Informação). 
Tal informação poderá também ser consultada através do link: https://www.saojoaodosabugi.rn.leg.br/[…]/verbas-indenizatorias 
Permanecemos à disposição para quaisquer outros esclarecimentos que se façam necessários. 
Atenciosamente, 
Ouvidoria 
Câmara Municipal</t>
  </si>
  <si>
    <t>Resposta: Bom dia. 
Irei mandar o link do nosso site onde constam todas as informações referentes a verbas indenizatórias do ano de 2025. 
Segue o link: 
https://www.saojosedoserido.rn.leg.br/processo-legislativo/poder-legislativo/regulamentacao-verbas-indenizatorias/2025</t>
  </si>
  <si>
    <t>Obs: Mesmo preenchendo coretamente todos os campos para acompanhar o pedido, o sistema informa que não há nenhum pedido com os dados fornecidos.</t>
  </si>
  <si>
    <t>Cidade</t>
  </si>
  <si>
    <t>Pontuação no critério de tempestividade</t>
  </si>
  <si>
    <t>Cidades com 2 pontos</t>
  </si>
  <si>
    <t>Cidades com 0 ponto</t>
  </si>
  <si>
    <t>1. Identificação dos municípios da região Seridó Potiguar</t>
  </si>
  <si>
    <t>2. Formulação do pedido de informação</t>
  </si>
  <si>
    <t>3. Identificação dos endereços dos portais eletrônicos</t>
  </si>
  <si>
    <t>4. Envio do pedido de informação</t>
  </si>
  <si>
    <t>Prezado (a), como solicitado, segue as informações em anexo.
Anexo:</t>
  </si>
  <si>
    <t>Bodó; Cerro Corá; Equador; Jardim de Piranhas; Jucurutu; Ouro Branco; São Fernando; São Vicente; Serra Negra do Norte; Tenente Laurentino Cruz; Timbaúba dos Batistas.</t>
  </si>
  <si>
    <t>Currais Novos (5); Jardim do Seridó (4); Lagoa Nova (4); São José do Seridó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</si>
</sst>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Calibri"/>
      <family val="2"/>
      <scheme val="minor"/>
    </font>
    <font>
      <b/>
      <sz val="11"/>
      <color theme="1"/>
      <name val="Garamond"/>
      <family val="1"/>
    </font>
    <font>
      <sz val="11"/>
      <color theme="1"/>
      <name val="Garamond"/>
      <family val="1"/>
    </font>
    <font>
      <sz val="11"/>
      <color theme="1"/>
      <name val="Calibri"/>
      <family val="2"/>
      <scheme val="minor"/>
    </font>
    <font>
      <u/>
      <sz val="11"/>
      <color theme="10"/>
      <name val="Calibri"/>
      <family val="2"/>
      <scheme val="minor"/>
    </font>
    <font>
      <b/>
      <sz val="10"/>
      <color theme="1"/>
      <name val="Garamond"/>
      <family val="1"/>
    </font>
    <font>
      <sz val="10"/>
      <color theme="1"/>
      <name val="Garamond"/>
      <family val="1"/>
    </font>
    <font>
      <u/>
      <sz val="11"/>
      <color theme="10"/>
      <name val="Garamond"/>
      <family val="1"/>
    </font>
    <font>
      <sz val="11"/>
      <name val="Garamond"/>
      <family val="1"/>
    </font>
    <font>
      <sz val="11"/>
      <color rgb="FFFFFFFF"/>
      <name val="Garamond"/>
      <family val="1"/>
    </font>
  </fonts>
  <fills count="11">
    <fill>
      <patternFill patternType="none"/>
    </fill>
    <fill>
      <patternFill patternType="gray125"/>
    </fill>
    <fill>
      <patternFill patternType="solid">
        <fgColor rgb="FFCCCCCC"/>
        <bgColor indexed="64"/>
      </patternFill>
    </fill>
    <fill>
      <patternFill patternType="solid">
        <fgColor rgb="FFB6D7A8"/>
        <bgColor indexed="64"/>
      </patternFill>
    </fill>
    <fill>
      <patternFill patternType="solid">
        <fgColor rgb="FFFFFF00"/>
        <bgColor indexed="64"/>
      </patternFill>
    </fill>
    <fill>
      <patternFill patternType="solid">
        <fgColor rgb="FFFFFFFF"/>
        <bgColor indexed="64"/>
      </patternFill>
    </fill>
    <fill>
      <patternFill patternType="solid">
        <fgColor rgb="FFB7B7B7"/>
        <bgColor indexed="64"/>
      </patternFill>
    </fill>
    <fill>
      <patternFill patternType="solid">
        <fgColor rgb="FF93C47D"/>
        <bgColor indexed="64"/>
      </patternFill>
    </fill>
    <fill>
      <patternFill patternType="solid">
        <fgColor rgb="FF660000"/>
        <bgColor indexed="64"/>
      </patternFill>
    </fill>
    <fill>
      <patternFill patternType="solid">
        <fgColor rgb="FFFFD966"/>
        <bgColor indexed="64"/>
      </patternFill>
    </fill>
    <fill>
      <patternFill patternType="solid">
        <fgColor theme="9" tint="0.59999389629810485"/>
        <bgColor indexed="64"/>
      </patternFill>
    </fill>
  </fills>
  <borders count="11">
    <border>
      <left/>
      <right/>
      <top/>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bottom/>
      <diagonal/>
    </border>
    <border>
      <left style="medium">
        <color rgb="FF000000"/>
      </left>
      <right style="medium">
        <color rgb="FFCCCCCC"/>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style="medium">
        <color rgb="FFCCCCCC"/>
      </right>
      <top/>
      <bottom style="medium">
        <color rgb="FF000000"/>
      </bottom>
      <diagonal/>
    </border>
    <border>
      <left style="medium">
        <color rgb="FF000000"/>
      </left>
      <right style="medium">
        <color rgb="FFCCCCCC"/>
      </right>
      <top style="medium">
        <color rgb="FF000000"/>
      </top>
      <bottom/>
      <diagonal/>
    </border>
    <border>
      <left style="medium">
        <color rgb="FFCCCCCC"/>
      </left>
      <right style="medium">
        <color rgb="FFCCCCCC"/>
      </right>
      <top style="medium">
        <color rgb="FF000000"/>
      </top>
      <bottom/>
      <diagonal/>
    </border>
    <border>
      <left style="medium">
        <color rgb="FFCCCCCC"/>
      </left>
      <right/>
      <top style="medium">
        <color rgb="FF000000"/>
      </top>
      <bottom style="medium">
        <color rgb="FF000000"/>
      </bottom>
      <diagonal/>
    </border>
    <border>
      <left/>
      <right style="medium">
        <color rgb="FFCCCCCC"/>
      </right>
      <top style="medium">
        <color rgb="FF000000"/>
      </top>
      <bottom style="medium">
        <color rgb="FF000000"/>
      </bottom>
      <diagonal/>
    </border>
  </borders>
  <cellStyleXfs count="3">
    <xf numFmtId="0" fontId="0" fillId="0" borderId="0"/>
    <xf numFmtId="9" fontId="3" fillId="0" borderId="0" applyFont="0" applyFill="0" applyBorder="0" applyAlignment="0" applyProtection="0"/>
    <xf numFmtId="0" fontId="4" fillId="0" borderId="0" applyNumberFormat="0" applyFill="0" applyBorder="0" applyAlignment="0" applyProtection="0"/>
  </cellStyleXfs>
  <cellXfs count="67">
    <xf numFmtId="0" fontId="0" fillId="0" borderId="0" xfId="0"/>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pplyAlignment="1">
      <alignment horizontal="justify" vertical="center" wrapText="1"/>
    </xf>
    <xf numFmtId="0" fontId="0" fillId="0" borderId="0" xfId="0" applyAlignment="1">
      <alignment wrapText="1"/>
    </xf>
    <xf numFmtId="0" fontId="2" fillId="0" borderId="0" xfId="0" applyFont="1" applyAlignment="1">
      <alignment horizontal="left" vertical="center" wrapText="1"/>
    </xf>
    <xf numFmtId="0" fontId="2" fillId="0" borderId="0" xfId="0" applyFont="1" applyAlignment="1">
      <alignment horizontal="left" vertical="center"/>
    </xf>
    <xf numFmtId="0" fontId="1" fillId="0" borderId="0" xfId="0" applyFont="1" applyAlignment="1">
      <alignment wrapText="1"/>
    </xf>
    <xf numFmtId="0" fontId="1" fillId="0" borderId="0" xfId="0" applyFont="1" applyAlignment="1">
      <alignment horizontal="center"/>
    </xf>
    <xf numFmtId="0" fontId="0" fillId="0" borderId="0" xfId="0" applyAlignment="1">
      <alignment vertical="center"/>
    </xf>
    <xf numFmtId="0" fontId="2" fillId="0" borderId="0" xfId="0" applyFont="1"/>
    <xf numFmtId="0" fontId="2"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xf numFmtId="9" fontId="0" fillId="0" borderId="0" xfId="0" applyNumberFormat="1"/>
    <xf numFmtId="0" fontId="5" fillId="2" borderId="1" xfId="0" applyFont="1" applyFill="1" applyBorder="1" applyAlignment="1">
      <alignment wrapText="1"/>
    </xf>
    <xf numFmtId="0" fontId="5" fillId="3" borderId="1" xfId="0" applyFont="1" applyFill="1" applyBorder="1" applyAlignment="1">
      <alignment wrapText="1"/>
    </xf>
    <xf numFmtId="0" fontId="5" fillId="4" borderId="1" xfId="0" applyFont="1" applyFill="1" applyBorder="1" applyAlignment="1">
      <alignment wrapText="1"/>
    </xf>
    <xf numFmtId="0" fontId="6" fillId="0" borderId="4" xfId="0" applyFont="1" applyBorder="1" applyAlignment="1">
      <alignment vertical="center" wrapText="1"/>
    </xf>
    <xf numFmtId="0" fontId="6" fillId="0" borderId="4"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5" fillId="0" borderId="1" xfId="0" applyFont="1" applyBorder="1" applyAlignment="1">
      <alignment horizontal="right"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7" fillId="5" borderId="4" xfId="2" applyFont="1" applyFill="1" applyBorder="1" applyAlignment="1">
      <alignment horizontal="left" vertical="center" wrapText="1"/>
    </xf>
    <xf numFmtId="0" fontId="8" fillId="5" borderId="4" xfId="2" applyFont="1" applyFill="1" applyBorder="1" applyAlignment="1">
      <alignment horizontal="left" vertical="center" wrapText="1"/>
    </xf>
    <xf numFmtId="0" fontId="1" fillId="6" borderId="4" xfId="0" applyFont="1" applyFill="1" applyBorder="1" applyAlignment="1">
      <alignment horizontal="left" vertical="center" wrapText="1"/>
    </xf>
    <xf numFmtId="0" fontId="1" fillId="0" borderId="4" xfId="0" applyFont="1" applyBorder="1" applyAlignment="1">
      <alignment horizontal="left" vertical="center" wrapText="1"/>
    </xf>
    <xf numFmtId="14" fontId="2" fillId="5" borderId="4" xfId="0" applyNumberFormat="1"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7" borderId="4" xfId="0" applyFont="1" applyFill="1" applyBorder="1" applyAlignment="1">
      <alignment horizontal="left" vertical="center" wrapText="1"/>
    </xf>
    <xf numFmtId="0" fontId="9" fillId="8" borderId="4" xfId="0" applyFont="1" applyFill="1" applyBorder="1" applyAlignment="1">
      <alignment horizontal="left" vertical="center" wrapText="1"/>
    </xf>
    <xf numFmtId="0" fontId="2" fillId="9" borderId="4" xfId="0" applyFont="1" applyFill="1" applyBorder="1" applyAlignment="1">
      <alignment horizontal="left" vertical="center" wrapText="1"/>
    </xf>
    <xf numFmtId="9" fontId="1" fillId="0" borderId="0" xfId="0" applyNumberFormat="1" applyFont="1" applyAlignment="1">
      <alignment vertical="center" wrapText="1"/>
    </xf>
    <xf numFmtId="0" fontId="2" fillId="0" borderId="0" xfId="0" applyFont="1" applyAlignment="1">
      <alignment horizontal="left"/>
    </xf>
    <xf numFmtId="0" fontId="1" fillId="0" borderId="0" xfId="0" applyFont="1" applyAlignment="1">
      <alignment horizontal="left"/>
    </xf>
    <xf numFmtId="9" fontId="2" fillId="0" borderId="0" xfId="1" applyFont="1" applyAlignment="1">
      <alignment horizontal="left"/>
    </xf>
    <xf numFmtId="0" fontId="5" fillId="10" borderId="1" xfId="0" applyFont="1" applyFill="1" applyBorder="1" applyAlignment="1">
      <alignment wrapText="1"/>
    </xf>
    <xf numFmtId="0" fontId="5" fillId="10" borderId="1" xfId="0"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wrapText="1"/>
    </xf>
    <xf numFmtId="0" fontId="0" fillId="0" borderId="0" xfId="0" applyAlignment="1">
      <alignment horizont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xf>
    <xf numFmtId="0" fontId="5" fillId="0" borderId="9" xfId="0" applyFont="1" applyBorder="1" applyAlignment="1">
      <alignment horizontal="right" vertical="center" wrapText="1"/>
    </xf>
    <xf numFmtId="0" fontId="5" fillId="0" borderId="10" xfId="0" applyFont="1" applyBorder="1" applyAlignment="1">
      <alignment horizontal="right" vertical="center" wrapText="1"/>
    </xf>
    <xf numFmtId="0" fontId="6" fillId="3" borderId="8"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0" borderId="8"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5" borderId="8"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6" fillId="10" borderId="8" xfId="0" applyFont="1" applyFill="1" applyBorder="1" applyAlignment="1">
      <alignment horizontal="center" vertical="center" wrapText="1"/>
    </xf>
    <xf numFmtId="0" fontId="6" fillId="10" borderId="5"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5" fillId="0" borderId="7"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2" fillId="0" borderId="0" xfId="0" applyFont="1" applyAlignment="1">
      <alignment horizontal="center" vertical="center"/>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'Gráfico 1'!$A$1:$A$12</c:f>
              <c:strCache>
                <c:ptCount val="12"/>
                <c:pt idx="0">
                  <c:v>Acari</c:v>
                </c:pt>
                <c:pt idx="1">
                  <c:v>Caicó</c:v>
                </c:pt>
                <c:pt idx="2">
                  <c:v>Carnaúba dos Dantas</c:v>
                </c:pt>
                <c:pt idx="3">
                  <c:v>Cruzeta</c:v>
                </c:pt>
                <c:pt idx="4">
                  <c:v>Currais Novos</c:v>
                </c:pt>
                <c:pt idx="5">
                  <c:v>Florânia</c:v>
                </c:pt>
                <c:pt idx="6">
                  <c:v>Jardim do Seridó</c:v>
                </c:pt>
                <c:pt idx="7">
                  <c:v>Lagoa Nova</c:v>
                </c:pt>
                <c:pt idx="8">
                  <c:v>Parelhas</c:v>
                </c:pt>
                <c:pt idx="9">
                  <c:v>Santana do Seridó</c:v>
                </c:pt>
                <c:pt idx="10">
                  <c:v>São José do Sabugi</c:v>
                </c:pt>
                <c:pt idx="11">
                  <c:v>São José do Seridó</c:v>
                </c:pt>
              </c:strCache>
            </c:strRef>
          </c:cat>
          <c:val>
            <c:numRef>
              <c:f>'Gráfico 1'!$B$1:$B$12</c:f>
              <c:numCache>
                <c:formatCode>General</c:formatCode>
                <c:ptCount val="12"/>
                <c:pt idx="0">
                  <c:v>8</c:v>
                </c:pt>
                <c:pt idx="1">
                  <c:v>8</c:v>
                </c:pt>
                <c:pt idx="2">
                  <c:v>7</c:v>
                </c:pt>
                <c:pt idx="3">
                  <c:v>8</c:v>
                </c:pt>
                <c:pt idx="4">
                  <c:v>5</c:v>
                </c:pt>
                <c:pt idx="5">
                  <c:v>8</c:v>
                </c:pt>
                <c:pt idx="6">
                  <c:v>4</c:v>
                </c:pt>
                <c:pt idx="7">
                  <c:v>4</c:v>
                </c:pt>
                <c:pt idx="8">
                  <c:v>7</c:v>
                </c:pt>
                <c:pt idx="9">
                  <c:v>8</c:v>
                </c:pt>
                <c:pt idx="10">
                  <c:v>8</c:v>
                </c:pt>
                <c:pt idx="11">
                  <c:v>5</c:v>
                </c:pt>
              </c:numCache>
            </c:numRef>
          </c:val>
          <c:extLst>
            <c:ext xmlns:c16="http://schemas.microsoft.com/office/drawing/2014/chart" uri="{C3380CC4-5D6E-409C-BE32-E72D297353CC}">
              <c16:uniqueId val="{00000000-FE72-4E1B-8145-17E358897891}"/>
            </c:ext>
          </c:extLst>
        </c:ser>
        <c:dLbls>
          <c:showLegendKey val="0"/>
          <c:showVal val="0"/>
          <c:showCatName val="0"/>
          <c:showSerName val="0"/>
          <c:showPercent val="0"/>
          <c:showBubbleSize val="0"/>
        </c:dLbls>
        <c:gapWidth val="182"/>
        <c:axId val="285926832"/>
        <c:axId val="285923880"/>
      </c:barChart>
      <c:catAx>
        <c:axId val="285926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3880"/>
        <c:crosses val="autoZero"/>
        <c:auto val="1"/>
        <c:lblAlgn val="ctr"/>
        <c:lblOffset val="100"/>
        <c:noMultiLvlLbl val="0"/>
      </c:catAx>
      <c:valAx>
        <c:axId val="285923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859268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A3-45D8-86BD-3A4A6B4A5A9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A3-45D8-86BD-3A4A6B4A5A9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pt-BR"/>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'Gráfico 2'!$A$26:$A$27</c:f>
              <c:strCache>
                <c:ptCount val="2"/>
                <c:pt idx="0">
                  <c:v>Cidades com 2 pontos</c:v>
                </c:pt>
                <c:pt idx="1">
                  <c:v>Cidades com 0 ponto</c:v>
                </c:pt>
              </c:strCache>
            </c:strRef>
          </c:cat>
          <c:val>
            <c:numRef>
              <c:f>'Gráfico 2'!$B$26:$B$27</c:f>
              <c:numCache>
                <c:formatCode>0%</c:formatCode>
                <c:ptCount val="2"/>
                <c:pt idx="0">
                  <c:v>0.52173913043478259</c:v>
                </c:pt>
                <c:pt idx="1">
                  <c:v>0.47826086956521741</c:v>
                </c:pt>
              </c:numCache>
            </c:numRef>
          </c:val>
          <c:extLst>
            <c:ext xmlns:c16="http://schemas.microsoft.com/office/drawing/2014/chart" uri="{C3380CC4-5D6E-409C-BE32-E72D297353CC}">
              <c16:uniqueId val="{00000000-69B6-4226-90EF-8C1256D8EE5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300037</xdr:colOff>
      <xdr:row>0</xdr:row>
      <xdr:rowOff>0</xdr:rowOff>
    </xdr:from>
    <xdr:to>
      <xdr:col>10</xdr:col>
      <xdr:colOff>604837</xdr:colOff>
      <xdr:row>14</xdr:row>
      <xdr:rowOff>76200</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276225</xdr:colOff>
      <xdr:row>7</xdr:row>
      <xdr:rowOff>123825</xdr:rowOff>
    </xdr:from>
    <xdr:to>
      <xdr:col>10</xdr:col>
      <xdr:colOff>581025</xdr:colOff>
      <xdr:row>22</xdr:row>
      <xdr:rowOff>9525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cruzeta.rn.leg.br/" TargetMode="External"/><Relationship Id="rId13" Type="http://schemas.openxmlformats.org/officeDocument/2006/relationships/hyperlink" Target="https://camarajardimdepiranhas.rn.gov.br/" TargetMode="External"/><Relationship Id="rId18" Type="http://schemas.openxmlformats.org/officeDocument/2006/relationships/hyperlink" Target="https://www.parelhas.rn.leg.br/" TargetMode="External"/><Relationship Id="rId26" Type="http://schemas.openxmlformats.org/officeDocument/2006/relationships/hyperlink" Target="http://fala.br/" TargetMode="External"/><Relationship Id="rId3" Type="http://schemas.openxmlformats.org/officeDocument/2006/relationships/hyperlink" Target="https://www.caico.rn.leg.br/" TargetMode="External"/><Relationship Id="rId21" Type="http://schemas.openxmlformats.org/officeDocument/2006/relationships/hyperlink" Target="http://fala.br/" TargetMode="External"/><Relationship Id="rId7" Type="http://schemas.openxmlformats.org/officeDocument/2006/relationships/hyperlink" Target="https://cerrocora.rn.leg.br/" TargetMode="External"/><Relationship Id="rId12" Type="http://schemas.openxmlformats.org/officeDocument/2006/relationships/hyperlink" Target="https://www.florania.rn.leg.br/" TargetMode="External"/><Relationship Id="rId17" Type="http://schemas.openxmlformats.org/officeDocument/2006/relationships/hyperlink" Target="https://cmob.rn.gov.br/" TargetMode="External"/><Relationship Id="rId25" Type="http://schemas.openxmlformats.org/officeDocument/2006/relationships/hyperlink" Target="https://www.saojosedoserido.rn.leg.br/" TargetMode="External"/><Relationship Id="rId2" Type="http://schemas.openxmlformats.org/officeDocument/2006/relationships/hyperlink" Target="https://www.bodo.rn.leg.br/" TargetMode="External"/><Relationship Id="rId16" Type="http://schemas.openxmlformats.org/officeDocument/2006/relationships/hyperlink" Target="https://lagoanova.rn.leg.br/" TargetMode="External"/><Relationship Id="rId20" Type="http://schemas.openxmlformats.org/officeDocument/2006/relationships/hyperlink" Target="https://www.santanadoserido.rn.leg.br/" TargetMode="External"/><Relationship Id="rId29" Type="http://schemas.openxmlformats.org/officeDocument/2006/relationships/hyperlink" Target="https://cmserranegradonorte.rn.gov.br/" TargetMode="External"/><Relationship Id="rId1" Type="http://schemas.openxmlformats.org/officeDocument/2006/relationships/hyperlink" Target="https://www.acari.rn.leg.br/" TargetMode="External"/><Relationship Id="rId6" Type="http://schemas.openxmlformats.org/officeDocument/2006/relationships/hyperlink" Target="http://fala.br/" TargetMode="External"/><Relationship Id="rId11" Type="http://schemas.openxmlformats.org/officeDocument/2006/relationships/hyperlink" Target="https://www.equador.rn.leg.br/" TargetMode="External"/><Relationship Id="rId24" Type="http://schemas.openxmlformats.org/officeDocument/2006/relationships/hyperlink" Target="https://www.saojoaodosabugi.rn.leg.br/" TargetMode="External"/><Relationship Id="rId32" Type="http://schemas.openxmlformats.org/officeDocument/2006/relationships/printerSettings" Target="../printerSettings/printerSettings4.bin"/><Relationship Id="rId5" Type="http://schemas.openxmlformats.org/officeDocument/2006/relationships/hyperlink" Target="https://www.carnaubadosdantas.rn.leg.br/" TargetMode="External"/><Relationship Id="rId15" Type="http://schemas.openxmlformats.org/officeDocument/2006/relationships/hyperlink" Target="https://www.jucurutu.rn.leg.br/" TargetMode="External"/><Relationship Id="rId23" Type="http://schemas.openxmlformats.org/officeDocument/2006/relationships/hyperlink" Target="https://cmsaofernando.rn.gov.br/" TargetMode="External"/><Relationship Id="rId28" Type="http://schemas.openxmlformats.org/officeDocument/2006/relationships/hyperlink" Target="https://camarasaovicente.rn.gov.br/" TargetMode="External"/><Relationship Id="rId10" Type="http://schemas.openxmlformats.org/officeDocument/2006/relationships/hyperlink" Target="http://fala.br/" TargetMode="External"/><Relationship Id="rId19" Type="http://schemas.openxmlformats.org/officeDocument/2006/relationships/hyperlink" Target="http://fala.br/" TargetMode="External"/><Relationship Id="rId31" Type="http://schemas.openxmlformats.org/officeDocument/2006/relationships/hyperlink" Target="https://www.timbaubadosbatistas.rn.leg.br/" TargetMode="External"/><Relationship Id="rId4" Type="http://schemas.openxmlformats.org/officeDocument/2006/relationships/hyperlink" Target="http://fala.br/" TargetMode="External"/><Relationship Id="rId9" Type="http://schemas.openxmlformats.org/officeDocument/2006/relationships/hyperlink" Target="https://www.curraisnovos.rn.leg.br/" TargetMode="External"/><Relationship Id="rId14" Type="http://schemas.openxmlformats.org/officeDocument/2006/relationships/hyperlink" Target="https://jardimdoserido.rn.leg.br/pagina-inicial/c%C3%A2mara-municipal-de-jardim-do-serid%C3%B3" TargetMode="External"/><Relationship Id="rId22" Type="http://schemas.openxmlformats.org/officeDocument/2006/relationships/hyperlink" Target="https://cmsantanadoserido.ageassessoria.com.br/c/m8nf1k5175" TargetMode="External"/><Relationship Id="rId27" Type="http://schemas.openxmlformats.org/officeDocument/2006/relationships/hyperlink" Target="https://www.saojosedoserido.rn.leg.br/processo-legislativo/poder-legislativo/regulamentacao-verbas-indenizatorias/2025" TargetMode="External"/><Relationship Id="rId30" Type="http://schemas.openxmlformats.org/officeDocument/2006/relationships/hyperlink" Target="https://www.tenentelaurentinocruz.rn.leg.br/"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topLeftCell="A4" workbookViewId="0">
      <selection activeCell="E6" sqref="E6"/>
    </sheetView>
  </sheetViews>
  <sheetFormatPr defaultRowHeight="15" x14ac:dyDescent="0.25"/>
  <cols>
    <col min="1" max="1" width="29.28515625" customWidth="1"/>
    <col min="2" max="2" width="48.5703125" customWidth="1"/>
  </cols>
  <sheetData>
    <row r="1" spans="1:2" x14ac:dyDescent="0.25">
      <c r="A1" s="1" t="s">
        <v>0</v>
      </c>
      <c r="B1" s="1" t="s">
        <v>1</v>
      </c>
    </row>
    <row r="2" spans="1:2" ht="120" x14ac:dyDescent="0.25">
      <c r="A2" s="13" t="s">
        <v>151</v>
      </c>
      <c r="B2" s="3" t="s">
        <v>2</v>
      </c>
    </row>
    <row r="3" spans="1:2" ht="135" x14ac:dyDescent="0.25">
      <c r="A3" s="13" t="s">
        <v>152</v>
      </c>
      <c r="B3" s="2" t="s">
        <v>3</v>
      </c>
    </row>
    <row r="4" spans="1:2" ht="75" x14ac:dyDescent="0.25">
      <c r="A4" s="13" t="s">
        <v>153</v>
      </c>
      <c r="B4" s="2" t="s">
        <v>4</v>
      </c>
    </row>
    <row r="5" spans="1:2" ht="210" x14ac:dyDescent="0.25">
      <c r="A5" s="13" t="s">
        <v>154</v>
      </c>
      <c r="B5" s="2" t="s">
        <v>5</v>
      </c>
    </row>
  </sheetData>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
  <sheetViews>
    <sheetView topLeftCell="A7" workbookViewId="0">
      <selection sqref="A1:C18"/>
    </sheetView>
  </sheetViews>
  <sheetFormatPr defaultRowHeight="15" x14ac:dyDescent="0.25"/>
  <cols>
    <col min="1" max="1" width="18.85546875" customWidth="1"/>
    <col min="2" max="2" width="45.140625" customWidth="1"/>
    <col min="3" max="3" width="10.7109375" customWidth="1"/>
  </cols>
  <sheetData>
    <row r="1" spans="1:3" x14ac:dyDescent="0.25">
      <c r="A1" s="8" t="s">
        <v>8</v>
      </c>
      <c r="B1" s="8" t="s">
        <v>6</v>
      </c>
      <c r="C1" s="8" t="s">
        <v>7</v>
      </c>
    </row>
    <row r="2" spans="1:3" x14ac:dyDescent="0.25">
      <c r="A2" s="43" t="s">
        <v>9</v>
      </c>
      <c r="B2" s="5" t="s">
        <v>13</v>
      </c>
      <c r="C2" s="6" t="s">
        <v>25</v>
      </c>
    </row>
    <row r="3" spans="1:3" x14ac:dyDescent="0.25">
      <c r="A3" s="43"/>
      <c r="B3" s="5" t="s">
        <v>14</v>
      </c>
      <c r="C3" s="6" t="s">
        <v>26</v>
      </c>
    </row>
    <row r="4" spans="1:3" x14ac:dyDescent="0.25">
      <c r="A4" s="43"/>
      <c r="B4" s="5" t="s">
        <v>15</v>
      </c>
      <c r="C4" s="6" t="s">
        <v>27</v>
      </c>
    </row>
    <row r="5" spans="1:3" x14ac:dyDescent="0.25">
      <c r="A5" s="44" t="s">
        <v>10</v>
      </c>
      <c r="B5" s="5" t="s">
        <v>16</v>
      </c>
      <c r="C5" s="6" t="s">
        <v>25</v>
      </c>
    </row>
    <row r="6" spans="1:3" x14ac:dyDescent="0.25">
      <c r="A6" s="44"/>
      <c r="B6" s="5" t="s">
        <v>17</v>
      </c>
      <c r="C6" s="6" t="s">
        <v>26</v>
      </c>
    </row>
    <row r="7" spans="1:3" x14ac:dyDescent="0.25">
      <c r="A7" s="44"/>
      <c r="B7" s="5" t="s">
        <v>18</v>
      </c>
      <c r="C7" s="6" t="s">
        <v>27</v>
      </c>
    </row>
    <row r="8" spans="1:3" ht="30" x14ac:dyDescent="0.25">
      <c r="A8" s="44" t="s">
        <v>11</v>
      </c>
      <c r="B8" s="5" t="s">
        <v>19</v>
      </c>
      <c r="C8" s="6" t="s">
        <v>25</v>
      </c>
    </row>
    <row r="9" spans="1:3" x14ac:dyDescent="0.25">
      <c r="A9" s="44"/>
      <c r="B9" s="5" t="s">
        <v>20</v>
      </c>
      <c r="C9" s="6" t="s">
        <v>26</v>
      </c>
    </row>
    <row r="10" spans="1:3" x14ac:dyDescent="0.25">
      <c r="A10" s="44"/>
      <c r="B10" s="5" t="s">
        <v>21</v>
      </c>
      <c r="C10" s="6" t="s">
        <v>27</v>
      </c>
    </row>
    <row r="11" spans="1:3" ht="30" customHeight="1" x14ac:dyDescent="0.25">
      <c r="A11" s="44" t="s">
        <v>12</v>
      </c>
      <c r="B11" s="5" t="s">
        <v>22</v>
      </c>
      <c r="C11" s="6" t="s">
        <v>25</v>
      </c>
    </row>
    <row r="12" spans="1:3" ht="30" x14ac:dyDescent="0.25">
      <c r="A12" s="44"/>
      <c r="B12" s="5" t="s">
        <v>23</v>
      </c>
      <c r="C12" s="6" t="s">
        <v>26</v>
      </c>
    </row>
    <row r="13" spans="1:3" x14ac:dyDescent="0.25">
      <c r="A13" s="44"/>
      <c r="B13" s="5" t="s">
        <v>24</v>
      </c>
      <c r="C13" s="6" t="s">
        <v>27</v>
      </c>
    </row>
    <row r="14" spans="1:3" x14ac:dyDescent="0.25">
      <c r="A14" s="45" t="s">
        <v>28</v>
      </c>
      <c r="B14" s="45"/>
      <c r="C14" s="45"/>
    </row>
    <row r="15" spans="1:3" ht="30" x14ac:dyDescent="0.25">
      <c r="A15" s="7" t="s">
        <v>29</v>
      </c>
      <c r="B15" s="41" t="s">
        <v>33</v>
      </c>
      <c r="C15" s="41"/>
    </row>
    <row r="16" spans="1:3" ht="45" x14ac:dyDescent="0.25">
      <c r="A16" s="7" t="s">
        <v>30</v>
      </c>
      <c r="B16" s="41" t="s">
        <v>34</v>
      </c>
      <c r="C16" s="41"/>
    </row>
    <row r="17" spans="1:3" ht="30" x14ac:dyDescent="0.25">
      <c r="A17" s="7" t="s">
        <v>31</v>
      </c>
      <c r="B17" s="41" t="s">
        <v>35</v>
      </c>
      <c r="C17" s="41"/>
    </row>
    <row r="18" spans="1:3" ht="30" x14ac:dyDescent="0.25">
      <c r="A18" s="7" t="s">
        <v>32</v>
      </c>
      <c r="B18" s="41" t="s">
        <v>36</v>
      </c>
      <c r="C18" s="41"/>
    </row>
    <row r="19" spans="1:3" x14ac:dyDescent="0.25">
      <c r="B19" s="42"/>
      <c r="C19" s="42"/>
    </row>
  </sheetData>
  <mergeCells count="10">
    <mergeCell ref="B16:C16"/>
    <mergeCell ref="B17:C17"/>
    <mergeCell ref="B18:C18"/>
    <mergeCell ref="B19:C19"/>
    <mergeCell ref="A2:A4"/>
    <mergeCell ref="A5:A7"/>
    <mergeCell ref="A8:A10"/>
    <mergeCell ref="A11:A13"/>
    <mergeCell ref="A14:C14"/>
    <mergeCell ref="B15:C15"/>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election activeCell="C5" sqref="A1:C5"/>
    </sheetView>
  </sheetViews>
  <sheetFormatPr defaultRowHeight="15" x14ac:dyDescent="0.25"/>
  <cols>
    <col min="1" max="1" width="25.5703125" customWidth="1"/>
    <col min="2" max="2" width="15" customWidth="1"/>
    <col min="3" max="3" width="35" customWidth="1"/>
  </cols>
  <sheetData>
    <row r="1" spans="1:3" x14ac:dyDescent="0.25">
      <c r="A1" s="66" t="s">
        <v>37</v>
      </c>
      <c r="B1" s="66" t="s">
        <v>38</v>
      </c>
      <c r="C1" s="66" t="s">
        <v>39</v>
      </c>
    </row>
    <row r="2" spans="1:3" ht="60" x14ac:dyDescent="0.25">
      <c r="A2" s="11" t="s">
        <v>40</v>
      </c>
      <c r="B2" s="11" t="s">
        <v>44</v>
      </c>
      <c r="C2" s="40" t="s">
        <v>47</v>
      </c>
    </row>
    <row r="3" spans="1:3" ht="45" x14ac:dyDescent="0.25">
      <c r="A3" s="11" t="s">
        <v>41</v>
      </c>
      <c r="B3" s="11" t="s">
        <v>45</v>
      </c>
      <c r="C3" s="40" t="s">
        <v>157</v>
      </c>
    </row>
    <row r="4" spans="1:3" x14ac:dyDescent="0.25">
      <c r="A4" s="11" t="s">
        <v>42</v>
      </c>
      <c r="B4" s="11" t="s">
        <v>46</v>
      </c>
      <c r="C4" s="40" t="s">
        <v>48</v>
      </c>
    </row>
    <row r="5" spans="1:3" ht="75" x14ac:dyDescent="0.25">
      <c r="A5" s="11" t="s">
        <v>43</v>
      </c>
      <c r="B5" s="11" t="s">
        <v>27</v>
      </c>
      <c r="C5" s="40" t="s">
        <v>156</v>
      </c>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4"/>
  <sheetViews>
    <sheetView topLeftCell="A11" zoomScale="66" zoomScaleNormal="66" workbookViewId="0">
      <selection activeCell="G10" sqref="G10"/>
    </sheetView>
  </sheetViews>
  <sheetFormatPr defaultRowHeight="15" x14ac:dyDescent="0.25"/>
  <cols>
    <col min="1" max="1" width="18.140625" customWidth="1"/>
    <col min="2" max="2" width="13" customWidth="1"/>
    <col min="3" max="3" width="12.7109375" customWidth="1"/>
    <col min="4" max="4" width="34.42578125" customWidth="1"/>
    <col min="5" max="5" width="14.140625" customWidth="1"/>
    <col min="6" max="6" width="17.85546875" customWidth="1"/>
    <col min="7" max="7" width="144.28515625" customWidth="1"/>
  </cols>
  <sheetData>
    <row r="1" spans="1:15" ht="30.75" thickBot="1" x14ac:dyDescent="0.3">
      <c r="A1" s="27" t="s">
        <v>91</v>
      </c>
      <c r="B1" s="27" t="s">
        <v>92</v>
      </c>
      <c r="C1" s="27" t="s">
        <v>93</v>
      </c>
      <c r="D1" s="27" t="s">
        <v>94</v>
      </c>
      <c r="E1" s="27" t="s">
        <v>95</v>
      </c>
      <c r="F1" s="27" t="s">
        <v>96</v>
      </c>
      <c r="G1" s="27" t="s">
        <v>97</v>
      </c>
    </row>
    <row r="2" spans="1:15" ht="186" customHeight="1" thickBot="1" x14ac:dyDescent="0.3">
      <c r="A2" s="28" t="s">
        <v>50</v>
      </c>
      <c r="B2" s="25" t="s">
        <v>98</v>
      </c>
      <c r="C2" s="29">
        <v>46021</v>
      </c>
      <c r="D2" s="30" t="s">
        <v>99</v>
      </c>
      <c r="E2" s="31" t="s">
        <v>100</v>
      </c>
      <c r="F2" s="29">
        <v>46021</v>
      </c>
      <c r="G2" s="30" t="s">
        <v>133</v>
      </c>
    </row>
    <row r="3" spans="1:15" ht="150.75" thickBot="1" x14ac:dyDescent="0.3">
      <c r="A3" s="28" t="s">
        <v>60</v>
      </c>
      <c r="B3" s="25" t="s">
        <v>101</v>
      </c>
      <c r="C3" s="29">
        <v>46021</v>
      </c>
      <c r="D3" s="30" t="s">
        <v>102</v>
      </c>
      <c r="E3" s="32" t="s">
        <v>103</v>
      </c>
      <c r="F3" s="30"/>
      <c r="G3" s="30"/>
    </row>
    <row r="4" spans="1:15" ht="409.6" thickBot="1" x14ac:dyDescent="0.3">
      <c r="A4" s="28" t="s">
        <v>51</v>
      </c>
      <c r="B4" s="25" t="s">
        <v>104</v>
      </c>
      <c r="C4" s="29">
        <v>46021</v>
      </c>
      <c r="D4" s="25" t="s">
        <v>105</v>
      </c>
      <c r="E4" s="31" t="s">
        <v>100</v>
      </c>
      <c r="F4" s="29">
        <v>46042</v>
      </c>
      <c r="G4" s="30" t="s">
        <v>134</v>
      </c>
    </row>
    <row r="5" spans="1:15" ht="409.6" thickBot="1" x14ac:dyDescent="0.3">
      <c r="A5" s="28" t="s">
        <v>52</v>
      </c>
      <c r="B5" s="25" t="s">
        <v>106</v>
      </c>
      <c r="C5" s="29">
        <v>46021</v>
      </c>
      <c r="D5" s="25" t="s">
        <v>105</v>
      </c>
      <c r="E5" s="31" t="s">
        <v>100</v>
      </c>
      <c r="F5" s="29">
        <v>46029</v>
      </c>
      <c r="G5" s="30" t="s">
        <v>135</v>
      </c>
    </row>
    <row r="6" spans="1:15" ht="30.75" thickBot="1" x14ac:dyDescent="0.3">
      <c r="A6" s="28" t="s">
        <v>61</v>
      </c>
      <c r="B6" s="25" t="s">
        <v>107</v>
      </c>
      <c r="C6" s="29">
        <v>46021</v>
      </c>
      <c r="D6" s="30" t="s">
        <v>108</v>
      </c>
      <c r="E6" s="32" t="s">
        <v>103</v>
      </c>
      <c r="F6" s="30"/>
      <c r="G6" s="30"/>
    </row>
    <row r="7" spans="1:15" ht="150.75" thickBot="1" x14ac:dyDescent="0.3">
      <c r="A7" s="28" t="s">
        <v>53</v>
      </c>
      <c r="B7" s="25" t="s">
        <v>109</v>
      </c>
      <c r="C7" s="29">
        <v>46021</v>
      </c>
      <c r="D7" s="30" t="s">
        <v>110</v>
      </c>
      <c r="E7" s="31" t="s">
        <v>100</v>
      </c>
      <c r="F7" s="29">
        <v>46021</v>
      </c>
      <c r="G7" s="30" t="s">
        <v>136</v>
      </c>
    </row>
    <row r="8" spans="1:15" ht="91.5" customHeight="1" thickBot="1" x14ac:dyDescent="0.3">
      <c r="A8" s="28" t="s">
        <v>54</v>
      </c>
      <c r="B8" s="25" t="s">
        <v>111</v>
      </c>
      <c r="C8" s="29">
        <v>46021</v>
      </c>
      <c r="D8" s="25" t="s">
        <v>105</v>
      </c>
      <c r="E8" s="31" t="s">
        <v>100</v>
      </c>
      <c r="F8" s="29">
        <v>46021</v>
      </c>
      <c r="G8" s="30" t="s">
        <v>137</v>
      </c>
    </row>
    <row r="9" spans="1:15" ht="63.75" customHeight="1" thickBot="1" x14ac:dyDescent="0.3">
      <c r="A9" s="28" t="s">
        <v>62</v>
      </c>
      <c r="B9" s="25" t="s">
        <v>112</v>
      </c>
      <c r="C9" s="29">
        <v>46021</v>
      </c>
      <c r="D9" s="30" t="s">
        <v>113</v>
      </c>
      <c r="E9" s="32" t="s">
        <v>103</v>
      </c>
      <c r="F9" s="30"/>
      <c r="G9" s="30" t="s">
        <v>138</v>
      </c>
    </row>
    <row r="10" spans="1:15" ht="165.75" thickBot="1" x14ac:dyDescent="0.3">
      <c r="A10" s="28" t="s">
        <v>55</v>
      </c>
      <c r="B10" s="25" t="s">
        <v>114</v>
      </c>
      <c r="C10" s="29">
        <v>46021</v>
      </c>
      <c r="D10" s="30" t="s">
        <v>99</v>
      </c>
      <c r="E10" s="31" t="s">
        <v>100</v>
      </c>
      <c r="F10" s="29">
        <v>46029</v>
      </c>
      <c r="G10" s="30" t="s">
        <v>139</v>
      </c>
    </row>
    <row r="11" spans="1:15" ht="60.75" thickBot="1" x14ac:dyDescent="0.3">
      <c r="A11" s="28" t="s">
        <v>63</v>
      </c>
      <c r="B11" s="25" t="s">
        <v>115</v>
      </c>
      <c r="C11" s="29">
        <v>46021</v>
      </c>
      <c r="D11" s="30" t="s">
        <v>99</v>
      </c>
      <c r="E11" s="32" t="s">
        <v>103</v>
      </c>
      <c r="F11" s="30"/>
      <c r="G11" s="30"/>
    </row>
    <row r="12" spans="1:15" ht="120.75" thickBot="1" x14ac:dyDescent="0.3">
      <c r="A12" s="28" t="s">
        <v>56</v>
      </c>
      <c r="B12" s="25" t="s">
        <v>116</v>
      </c>
      <c r="C12" s="29">
        <v>46021</v>
      </c>
      <c r="D12" s="30" t="s">
        <v>110</v>
      </c>
      <c r="E12" s="31" t="s">
        <v>100</v>
      </c>
      <c r="F12" s="29">
        <v>46038</v>
      </c>
      <c r="G12" s="30" t="s">
        <v>140</v>
      </c>
    </row>
    <row r="13" spans="1:15" ht="45.75" thickBot="1" x14ac:dyDescent="0.3">
      <c r="A13" s="28" t="s">
        <v>64</v>
      </c>
      <c r="B13" s="25" t="s">
        <v>117</v>
      </c>
      <c r="C13" s="29">
        <v>46021</v>
      </c>
      <c r="D13" s="30" t="s">
        <v>99</v>
      </c>
      <c r="E13" s="32" t="s">
        <v>103</v>
      </c>
      <c r="F13" s="30"/>
      <c r="G13" s="30" t="s">
        <v>141</v>
      </c>
    </row>
    <row r="14" spans="1:15" ht="45.75" thickBot="1" x14ac:dyDescent="0.3">
      <c r="A14" s="28" t="s">
        <v>65</v>
      </c>
      <c r="B14" s="25" t="s">
        <v>118</v>
      </c>
      <c r="C14" s="29">
        <v>46021</v>
      </c>
      <c r="D14" s="30" t="s">
        <v>99</v>
      </c>
      <c r="E14" s="33" t="s">
        <v>121</v>
      </c>
      <c r="F14" s="29">
        <v>46050</v>
      </c>
      <c r="G14" s="30" t="s">
        <v>155</v>
      </c>
    </row>
    <row r="15" spans="1:15" ht="100.5" customHeight="1" thickBot="1" x14ac:dyDescent="0.3">
      <c r="A15" s="28" t="s">
        <v>68</v>
      </c>
      <c r="B15" s="25" t="s">
        <v>119</v>
      </c>
      <c r="C15" s="29">
        <v>46021</v>
      </c>
      <c r="D15" s="30" t="s">
        <v>120</v>
      </c>
      <c r="E15" s="33" t="s">
        <v>121</v>
      </c>
      <c r="F15" s="29">
        <v>46045</v>
      </c>
      <c r="G15" s="30" t="s">
        <v>142</v>
      </c>
    </row>
    <row r="16" spans="1:15" ht="409.5" customHeight="1" thickBot="1" x14ac:dyDescent="0.3">
      <c r="A16" s="28" t="s">
        <v>57</v>
      </c>
      <c r="B16" s="25" t="s">
        <v>122</v>
      </c>
      <c r="C16" s="29">
        <v>46021</v>
      </c>
      <c r="D16" s="25" t="s">
        <v>105</v>
      </c>
      <c r="E16" s="31" t="s">
        <v>100</v>
      </c>
      <c r="F16" s="29">
        <v>46027</v>
      </c>
      <c r="G16" s="30" t="s">
        <v>143</v>
      </c>
      <c r="O16" s="9"/>
    </row>
    <row r="17" spans="1:7" ht="45.75" thickBot="1" x14ac:dyDescent="0.3">
      <c r="A17" s="28" t="s">
        <v>58</v>
      </c>
      <c r="B17" s="25" t="s">
        <v>123</v>
      </c>
      <c r="C17" s="29">
        <v>46021</v>
      </c>
      <c r="D17" s="25" t="s">
        <v>105</v>
      </c>
      <c r="E17" s="31" t="s">
        <v>100</v>
      </c>
      <c r="F17" s="29">
        <v>46028</v>
      </c>
      <c r="G17" s="26" t="s">
        <v>124</v>
      </c>
    </row>
    <row r="18" spans="1:7" ht="45.75" thickBot="1" x14ac:dyDescent="0.3">
      <c r="A18" s="28" t="s">
        <v>69</v>
      </c>
      <c r="B18" s="25" t="s">
        <v>125</v>
      </c>
      <c r="C18" s="29">
        <v>46021</v>
      </c>
      <c r="D18" s="30" t="s">
        <v>99</v>
      </c>
      <c r="E18" s="32" t="s">
        <v>103</v>
      </c>
      <c r="F18" s="30"/>
      <c r="G18" s="30"/>
    </row>
    <row r="19" spans="1:7" ht="408" customHeight="1" thickBot="1" x14ac:dyDescent="0.3">
      <c r="A19" s="28" t="s">
        <v>70</v>
      </c>
      <c r="B19" s="25" t="s">
        <v>126</v>
      </c>
      <c r="C19" s="29">
        <v>46021</v>
      </c>
      <c r="D19" s="30" t="s">
        <v>99</v>
      </c>
      <c r="E19" s="31" t="s">
        <v>100</v>
      </c>
      <c r="F19" s="29">
        <v>46037</v>
      </c>
      <c r="G19" s="30" t="s">
        <v>144</v>
      </c>
    </row>
    <row r="20" spans="1:7" ht="60.75" thickBot="1" x14ac:dyDescent="0.3">
      <c r="A20" s="28" t="s">
        <v>49</v>
      </c>
      <c r="B20" s="25" t="s">
        <v>127</v>
      </c>
      <c r="C20" s="29">
        <v>46021</v>
      </c>
      <c r="D20" s="25" t="s">
        <v>105</v>
      </c>
      <c r="E20" s="31" t="s">
        <v>100</v>
      </c>
      <c r="F20" s="29">
        <v>46028</v>
      </c>
      <c r="G20" s="26" t="s">
        <v>145</v>
      </c>
    </row>
    <row r="21" spans="1:7" ht="45.75" thickBot="1" x14ac:dyDescent="0.3">
      <c r="A21" s="28" t="s">
        <v>71</v>
      </c>
      <c r="B21" s="25" t="s">
        <v>128</v>
      </c>
      <c r="C21" s="29">
        <v>46021</v>
      </c>
      <c r="D21" s="30" t="s">
        <v>99</v>
      </c>
      <c r="E21" s="32" t="s">
        <v>103</v>
      </c>
      <c r="F21" s="30"/>
      <c r="G21" s="30" t="s">
        <v>146</v>
      </c>
    </row>
    <row r="22" spans="1:7" ht="45.75" thickBot="1" x14ac:dyDescent="0.3">
      <c r="A22" s="28" t="s">
        <v>72</v>
      </c>
      <c r="B22" s="25" t="s">
        <v>129</v>
      </c>
      <c r="C22" s="29">
        <v>46021</v>
      </c>
      <c r="D22" s="30" t="s">
        <v>108</v>
      </c>
      <c r="E22" s="32" t="s">
        <v>103</v>
      </c>
      <c r="F22" s="30"/>
      <c r="G22" s="30"/>
    </row>
    <row r="23" spans="1:7" ht="60.75" thickBot="1" x14ac:dyDescent="0.3">
      <c r="A23" s="28" t="s">
        <v>73</v>
      </c>
      <c r="B23" s="25" t="s">
        <v>130</v>
      </c>
      <c r="C23" s="29">
        <v>46021</v>
      </c>
      <c r="D23" s="30" t="s">
        <v>99</v>
      </c>
      <c r="E23" s="32" t="s">
        <v>103</v>
      </c>
      <c r="F23" s="30"/>
      <c r="G23" s="30" t="s">
        <v>132</v>
      </c>
    </row>
    <row r="24" spans="1:7" ht="60.75" thickBot="1" x14ac:dyDescent="0.3">
      <c r="A24" s="28" t="s">
        <v>74</v>
      </c>
      <c r="B24" s="25" t="s">
        <v>131</v>
      </c>
      <c r="C24" s="29">
        <v>46021</v>
      </c>
      <c r="D24" s="30" t="s">
        <v>99</v>
      </c>
      <c r="E24" s="32" t="s">
        <v>103</v>
      </c>
      <c r="F24" s="30"/>
      <c r="G24" s="30"/>
    </row>
  </sheetData>
  <hyperlinks>
    <hyperlink ref="B2" r:id="rId1"/>
    <hyperlink ref="B3" r:id="rId2"/>
    <hyperlink ref="B4" r:id="rId3"/>
    <hyperlink ref="D4" r:id="rId4" display="http://fala.br/"/>
    <hyperlink ref="B5" r:id="rId5"/>
    <hyperlink ref="D5" r:id="rId6" display="http://fala.br/"/>
    <hyperlink ref="B6" r:id="rId7"/>
    <hyperlink ref="B7" r:id="rId8"/>
    <hyperlink ref="B8" r:id="rId9"/>
    <hyperlink ref="D8" r:id="rId10" display="http://fala.br/"/>
    <hyperlink ref="B9" r:id="rId11"/>
    <hyperlink ref="B10" r:id="rId12"/>
    <hyperlink ref="B11" r:id="rId13"/>
    <hyperlink ref="B12" r:id="rId14"/>
    <hyperlink ref="B13" r:id="rId15"/>
    <hyperlink ref="B14" r:id="rId16"/>
    <hyperlink ref="B15" r:id="rId17"/>
    <hyperlink ref="B16" r:id="rId18" display="https://www.parelhas.rn.leg.br/"/>
    <hyperlink ref="D16" r:id="rId19" display="http://fala.br/"/>
    <hyperlink ref="B17" r:id="rId20"/>
    <hyperlink ref="D17" r:id="rId21" display="http://fala.br/"/>
    <hyperlink ref="G17" r:id="rId22" display="https://cmsantanadoserido.ageassessoria.com.br/c/m8nf1k5175"/>
    <hyperlink ref="B18" r:id="rId23"/>
    <hyperlink ref="B19" r:id="rId24"/>
    <hyperlink ref="B20" r:id="rId25"/>
    <hyperlink ref="D20" r:id="rId26" display="http://fala.br/"/>
    <hyperlink ref="G20" r:id="rId27" display="https://www.saojosedoserido.rn.leg.br/processo-legislativo/poder-legislativo/regulamentacao-verbas-indenizatorias/2025"/>
    <hyperlink ref="B21" r:id="rId28"/>
    <hyperlink ref="B22" r:id="rId29"/>
    <hyperlink ref="B23" r:id="rId30"/>
    <hyperlink ref="B24" r:id="rId31"/>
  </hyperlinks>
  <pageMargins left="0.511811024" right="0.511811024" top="0.78740157499999996" bottom="0.78740157499999996" header="0.31496062000000002" footer="0.31496062000000002"/>
  <pageSetup paperSize="9" orientation="portrait" r:id="rId3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5"/>
  <sheetViews>
    <sheetView topLeftCell="B1" workbookViewId="0">
      <selection activeCell="N16" sqref="N16"/>
    </sheetView>
  </sheetViews>
  <sheetFormatPr defaultRowHeight="15" x14ac:dyDescent="0.25"/>
  <cols>
    <col min="1" max="1" width="18" customWidth="1"/>
    <col min="2" max="2" width="28" customWidth="1"/>
  </cols>
  <sheetData>
    <row r="1" spans="1:26" ht="39.75" thickBot="1" x14ac:dyDescent="0.3">
      <c r="A1" s="15" t="s">
        <v>66</v>
      </c>
      <c r="B1" s="15" t="s">
        <v>67</v>
      </c>
      <c r="C1" s="15" t="s">
        <v>7</v>
      </c>
      <c r="D1" s="16" t="s">
        <v>50</v>
      </c>
      <c r="E1" s="17" t="s">
        <v>60</v>
      </c>
      <c r="F1" s="16" t="s">
        <v>51</v>
      </c>
      <c r="G1" s="16" t="s">
        <v>52</v>
      </c>
      <c r="H1" s="17" t="s">
        <v>61</v>
      </c>
      <c r="I1" s="16" t="s">
        <v>53</v>
      </c>
      <c r="J1" s="16" t="s">
        <v>54</v>
      </c>
      <c r="K1" s="17" t="s">
        <v>62</v>
      </c>
      <c r="L1" s="16" t="s">
        <v>55</v>
      </c>
      <c r="M1" s="17" t="s">
        <v>63</v>
      </c>
      <c r="N1" s="16" t="s">
        <v>56</v>
      </c>
      <c r="O1" s="17" t="s">
        <v>64</v>
      </c>
      <c r="P1" s="38" t="s">
        <v>65</v>
      </c>
      <c r="Q1" s="16" t="s">
        <v>68</v>
      </c>
      <c r="R1" s="16" t="s">
        <v>57</v>
      </c>
      <c r="S1" s="16" t="s">
        <v>58</v>
      </c>
      <c r="T1" s="17" t="s">
        <v>69</v>
      </c>
      <c r="U1" s="16" t="s">
        <v>70</v>
      </c>
      <c r="V1" s="16" t="s">
        <v>49</v>
      </c>
      <c r="W1" s="17" t="s">
        <v>71</v>
      </c>
      <c r="X1" s="17" t="s">
        <v>72</v>
      </c>
      <c r="Y1" s="17" t="s">
        <v>73</v>
      </c>
      <c r="Z1" s="17" t="s">
        <v>74</v>
      </c>
    </row>
    <row r="2" spans="1:26" ht="26.25" thickBot="1" x14ac:dyDescent="0.3">
      <c r="A2" s="63" t="s">
        <v>9</v>
      </c>
      <c r="B2" s="18" t="s">
        <v>75</v>
      </c>
      <c r="C2" s="19">
        <v>2</v>
      </c>
      <c r="D2" s="48">
        <v>2</v>
      </c>
      <c r="E2" s="51">
        <v>0</v>
      </c>
      <c r="F2" s="48">
        <v>2</v>
      </c>
      <c r="G2" s="48">
        <v>2</v>
      </c>
      <c r="H2" s="51">
        <v>0</v>
      </c>
      <c r="I2" s="48">
        <v>2</v>
      </c>
      <c r="J2" s="48">
        <v>2</v>
      </c>
      <c r="K2" s="51">
        <v>0</v>
      </c>
      <c r="L2" s="48">
        <v>2</v>
      </c>
      <c r="M2" s="51">
        <v>0</v>
      </c>
      <c r="N2" s="48">
        <v>2</v>
      </c>
      <c r="O2" s="51">
        <v>0</v>
      </c>
      <c r="P2" s="60">
        <v>0</v>
      </c>
      <c r="Q2" s="48">
        <v>0</v>
      </c>
      <c r="R2" s="48">
        <v>2</v>
      </c>
      <c r="S2" s="48">
        <v>2</v>
      </c>
      <c r="T2" s="51">
        <v>0</v>
      </c>
      <c r="U2" s="48">
        <v>2</v>
      </c>
      <c r="V2" s="48">
        <v>2</v>
      </c>
      <c r="W2" s="51">
        <v>0</v>
      </c>
      <c r="X2" s="51">
        <v>0</v>
      </c>
      <c r="Y2" s="51">
        <v>0</v>
      </c>
      <c r="Z2" s="51">
        <v>0</v>
      </c>
    </row>
    <row r="3" spans="1:26" ht="39" thickBot="1" x14ac:dyDescent="0.3">
      <c r="A3" s="64"/>
      <c r="B3" s="18" t="s">
        <v>76</v>
      </c>
      <c r="C3" s="19">
        <v>1</v>
      </c>
      <c r="D3" s="49"/>
      <c r="E3" s="52"/>
      <c r="F3" s="49"/>
      <c r="G3" s="49"/>
      <c r="H3" s="52"/>
      <c r="I3" s="49"/>
      <c r="J3" s="49"/>
      <c r="K3" s="52"/>
      <c r="L3" s="49"/>
      <c r="M3" s="52"/>
      <c r="N3" s="49"/>
      <c r="O3" s="52"/>
      <c r="P3" s="61"/>
      <c r="Q3" s="49"/>
      <c r="R3" s="49"/>
      <c r="S3" s="49"/>
      <c r="T3" s="52"/>
      <c r="U3" s="49"/>
      <c r="V3" s="49"/>
      <c r="W3" s="52"/>
      <c r="X3" s="52"/>
      <c r="Y3" s="52"/>
      <c r="Z3" s="52"/>
    </row>
    <row r="4" spans="1:26" ht="26.25" thickBot="1" x14ac:dyDescent="0.3">
      <c r="A4" s="64"/>
      <c r="B4" s="18" t="s">
        <v>77</v>
      </c>
      <c r="C4" s="19">
        <v>0</v>
      </c>
      <c r="D4" s="49"/>
      <c r="E4" s="52"/>
      <c r="F4" s="49"/>
      <c r="G4" s="49"/>
      <c r="H4" s="52"/>
      <c r="I4" s="49"/>
      <c r="J4" s="49"/>
      <c r="K4" s="52"/>
      <c r="L4" s="49"/>
      <c r="M4" s="52"/>
      <c r="N4" s="49"/>
      <c r="O4" s="52"/>
      <c r="P4" s="61"/>
      <c r="Q4" s="49"/>
      <c r="R4" s="49"/>
      <c r="S4" s="49"/>
      <c r="T4" s="52"/>
      <c r="U4" s="49"/>
      <c r="V4" s="49"/>
      <c r="W4" s="52"/>
      <c r="X4" s="52"/>
      <c r="Y4" s="52"/>
      <c r="Z4" s="52"/>
    </row>
    <row r="5" spans="1:26" ht="15.75" thickBot="1" x14ac:dyDescent="0.3">
      <c r="A5" s="65"/>
      <c r="B5" s="20" t="s">
        <v>78</v>
      </c>
      <c r="C5" s="21">
        <v>0</v>
      </c>
      <c r="D5" s="50"/>
      <c r="E5" s="53"/>
      <c r="F5" s="50"/>
      <c r="G5" s="50"/>
      <c r="H5" s="53"/>
      <c r="I5" s="50"/>
      <c r="J5" s="50"/>
      <c r="K5" s="53"/>
      <c r="L5" s="50"/>
      <c r="M5" s="53"/>
      <c r="N5" s="50"/>
      <c r="O5" s="53"/>
      <c r="P5" s="62"/>
      <c r="Q5" s="50"/>
      <c r="R5" s="50"/>
      <c r="S5" s="50"/>
      <c r="T5" s="53"/>
      <c r="U5" s="50"/>
      <c r="V5" s="50"/>
      <c r="W5" s="53"/>
      <c r="X5" s="53"/>
      <c r="Y5" s="53"/>
      <c r="Z5" s="53"/>
    </row>
    <row r="6" spans="1:26" ht="39" thickBot="1" x14ac:dyDescent="0.3">
      <c r="A6" s="57" t="s">
        <v>79</v>
      </c>
      <c r="B6" s="18" t="s">
        <v>80</v>
      </c>
      <c r="C6" s="19">
        <v>2</v>
      </c>
      <c r="D6" s="48">
        <v>2</v>
      </c>
      <c r="E6" s="51">
        <v>0</v>
      </c>
      <c r="F6" s="48">
        <v>2</v>
      </c>
      <c r="G6" s="48">
        <v>2</v>
      </c>
      <c r="H6" s="51">
        <v>0</v>
      </c>
      <c r="I6" s="48">
        <v>2</v>
      </c>
      <c r="J6" s="48">
        <v>0</v>
      </c>
      <c r="K6" s="51">
        <v>0</v>
      </c>
      <c r="L6" s="48">
        <v>2</v>
      </c>
      <c r="M6" s="51">
        <v>0</v>
      </c>
      <c r="N6" s="48">
        <v>0</v>
      </c>
      <c r="O6" s="51">
        <v>0</v>
      </c>
      <c r="P6" s="60">
        <v>1</v>
      </c>
      <c r="Q6" s="48">
        <v>0</v>
      </c>
      <c r="R6" s="48">
        <v>2</v>
      </c>
      <c r="S6" s="48">
        <v>2</v>
      </c>
      <c r="T6" s="51">
        <v>0</v>
      </c>
      <c r="U6" s="48">
        <v>2</v>
      </c>
      <c r="V6" s="48">
        <v>0</v>
      </c>
      <c r="W6" s="51">
        <v>0</v>
      </c>
      <c r="X6" s="51">
        <v>0</v>
      </c>
      <c r="Y6" s="51">
        <v>0</v>
      </c>
      <c r="Z6" s="51">
        <v>0</v>
      </c>
    </row>
    <row r="7" spans="1:26" ht="15.75" thickBot="1" x14ac:dyDescent="0.3">
      <c r="A7" s="58"/>
      <c r="B7" s="18" t="s">
        <v>81</v>
      </c>
      <c r="C7" s="19">
        <v>1</v>
      </c>
      <c r="D7" s="49"/>
      <c r="E7" s="52"/>
      <c r="F7" s="49"/>
      <c r="G7" s="49"/>
      <c r="H7" s="52"/>
      <c r="I7" s="49"/>
      <c r="J7" s="49"/>
      <c r="K7" s="52"/>
      <c r="L7" s="49"/>
      <c r="M7" s="52"/>
      <c r="N7" s="49"/>
      <c r="O7" s="52"/>
      <c r="P7" s="61"/>
      <c r="Q7" s="49"/>
      <c r="R7" s="49"/>
      <c r="S7" s="49"/>
      <c r="T7" s="52"/>
      <c r="U7" s="49"/>
      <c r="V7" s="49"/>
      <c r="W7" s="52"/>
      <c r="X7" s="52"/>
      <c r="Y7" s="52"/>
      <c r="Z7" s="52"/>
    </row>
    <row r="8" spans="1:26" ht="26.25" thickBot="1" x14ac:dyDescent="0.3">
      <c r="A8" s="59"/>
      <c r="B8" s="20" t="s">
        <v>82</v>
      </c>
      <c r="C8" s="21">
        <v>0</v>
      </c>
      <c r="D8" s="50"/>
      <c r="E8" s="53"/>
      <c r="F8" s="50"/>
      <c r="G8" s="50"/>
      <c r="H8" s="53"/>
      <c r="I8" s="50"/>
      <c r="J8" s="50"/>
      <c r="K8" s="53"/>
      <c r="L8" s="50"/>
      <c r="M8" s="53"/>
      <c r="N8" s="50"/>
      <c r="O8" s="53"/>
      <c r="P8" s="62"/>
      <c r="Q8" s="50"/>
      <c r="R8" s="50"/>
      <c r="S8" s="50"/>
      <c r="T8" s="53"/>
      <c r="U8" s="50"/>
      <c r="V8" s="50"/>
      <c r="W8" s="53"/>
      <c r="X8" s="53"/>
      <c r="Y8" s="53"/>
      <c r="Z8" s="53"/>
    </row>
    <row r="9" spans="1:26" ht="26.25" thickBot="1" x14ac:dyDescent="0.3">
      <c r="A9" s="57" t="s">
        <v>11</v>
      </c>
      <c r="B9" s="18" t="s">
        <v>83</v>
      </c>
      <c r="C9" s="19">
        <v>2</v>
      </c>
      <c r="D9" s="48">
        <v>2</v>
      </c>
      <c r="E9" s="51">
        <v>0</v>
      </c>
      <c r="F9" s="48">
        <v>2</v>
      </c>
      <c r="G9" s="48">
        <v>1</v>
      </c>
      <c r="H9" s="51">
        <v>0</v>
      </c>
      <c r="I9" s="48">
        <v>2</v>
      </c>
      <c r="J9" s="48">
        <v>2</v>
      </c>
      <c r="K9" s="51">
        <v>0</v>
      </c>
      <c r="L9" s="48">
        <v>2</v>
      </c>
      <c r="M9" s="51">
        <v>0</v>
      </c>
      <c r="N9" s="48">
        <v>2</v>
      </c>
      <c r="O9" s="51">
        <v>0</v>
      </c>
      <c r="P9" s="60">
        <v>2</v>
      </c>
      <c r="Q9" s="48">
        <v>0</v>
      </c>
      <c r="R9" s="48">
        <v>1</v>
      </c>
      <c r="S9" s="48">
        <v>2</v>
      </c>
      <c r="T9" s="51">
        <v>0</v>
      </c>
      <c r="U9" s="48">
        <v>2</v>
      </c>
      <c r="V9" s="48">
        <v>2</v>
      </c>
      <c r="W9" s="51">
        <v>0</v>
      </c>
      <c r="X9" s="51">
        <v>0</v>
      </c>
      <c r="Y9" s="51">
        <v>0</v>
      </c>
      <c r="Z9" s="51">
        <v>0</v>
      </c>
    </row>
    <row r="10" spans="1:26" ht="26.25" thickBot="1" x14ac:dyDescent="0.3">
      <c r="A10" s="58"/>
      <c r="B10" s="18" t="s">
        <v>84</v>
      </c>
      <c r="C10" s="19">
        <v>1</v>
      </c>
      <c r="D10" s="49"/>
      <c r="E10" s="52"/>
      <c r="F10" s="49"/>
      <c r="G10" s="49"/>
      <c r="H10" s="52"/>
      <c r="I10" s="49"/>
      <c r="J10" s="49"/>
      <c r="K10" s="52"/>
      <c r="L10" s="49"/>
      <c r="M10" s="52"/>
      <c r="N10" s="49"/>
      <c r="O10" s="52"/>
      <c r="P10" s="61"/>
      <c r="Q10" s="49"/>
      <c r="R10" s="49"/>
      <c r="S10" s="49"/>
      <c r="T10" s="52"/>
      <c r="U10" s="49"/>
      <c r="V10" s="49"/>
      <c r="W10" s="52"/>
      <c r="X10" s="52"/>
      <c r="Y10" s="52"/>
      <c r="Z10" s="52"/>
    </row>
    <row r="11" spans="1:26" ht="15.75" thickBot="1" x14ac:dyDescent="0.3">
      <c r="A11" s="59"/>
      <c r="B11" s="20" t="s">
        <v>85</v>
      </c>
      <c r="C11" s="21">
        <v>0</v>
      </c>
      <c r="D11" s="50"/>
      <c r="E11" s="53"/>
      <c r="F11" s="50"/>
      <c r="G11" s="50"/>
      <c r="H11" s="53"/>
      <c r="I11" s="50"/>
      <c r="J11" s="50"/>
      <c r="K11" s="53"/>
      <c r="L11" s="50"/>
      <c r="M11" s="53"/>
      <c r="N11" s="50"/>
      <c r="O11" s="53"/>
      <c r="P11" s="62"/>
      <c r="Q11" s="50"/>
      <c r="R11" s="50"/>
      <c r="S11" s="50"/>
      <c r="T11" s="53"/>
      <c r="U11" s="50"/>
      <c r="V11" s="50"/>
      <c r="W11" s="53"/>
      <c r="X11" s="53"/>
      <c r="Y11" s="53"/>
      <c r="Z11" s="53"/>
    </row>
    <row r="12" spans="1:26" ht="26.25" thickBot="1" x14ac:dyDescent="0.3">
      <c r="A12" s="57" t="s">
        <v>86</v>
      </c>
      <c r="B12" s="18" t="s">
        <v>87</v>
      </c>
      <c r="C12" s="19">
        <v>2</v>
      </c>
      <c r="D12" s="48">
        <v>2</v>
      </c>
      <c r="E12" s="51">
        <v>0</v>
      </c>
      <c r="F12" s="48">
        <v>2</v>
      </c>
      <c r="G12" s="48">
        <v>2</v>
      </c>
      <c r="H12" s="51">
        <v>0</v>
      </c>
      <c r="I12" s="48">
        <v>2</v>
      </c>
      <c r="J12" s="48">
        <v>1</v>
      </c>
      <c r="K12" s="54">
        <v>0</v>
      </c>
      <c r="L12" s="48">
        <v>2</v>
      </c>
      <c r="M12" s="51">
        <v>0</v>
      </c>
      <c r="N12" s="48">
        <v>0</v>
      </c>
      <c r="O12" s="51">
        <v>0</v>
      </c>
      <c r="P12" s="60">
        <v>1</v>
      </c>
      <c r="Q12" s="48">
        <v>0</v>
      </c>
      <c r="R12" s="48">
        <v>2</v>
      </c>
      <c r="S12" s="48">
        <v>2</v>
      </c>
      <c r="T12" s="51">
        <v>0</v>
      </c>
      <c r="U12" s="48">
        <v>2</v>
      </c>
      <c r="V12" s="48">
        <v>1</v>
      </c>
      <c r="W12" s="51">
        <v>0</v>
      </c>
      <c r="X12" s="51">
        <v>0</v>
      </c>
      <c r="Y12" s="51">
        <v>0</v>
      </c>
      <c r="Z12" s="51">
        <v>0</v>
      </c>
    </row>
    <row r="13" spans="1:26" ht="39" thickBot="1" x14ac:dyDescent="0.3">
      <c r="A13" s="58"/>
      <c r="B13" s="18" t="s">
        <v>88</v>
      </c>
      <c r="C13" s="19">
        <v>1</v>
      </c>
      <c r="D13" s="49"/>
      <c r="E13" s="52"/>
      <c r="F13" s="49"/>
      <c r="G13" s="49"/>
      <c r="H13" s="52"/>
      <c r="I13" s="49"/>
      <c r="J13" s="49"/>
      <c r="K13" s="55"/>
      <c r="L13" s="49"/>
      <c r="M13" s="52"/>
      <c r="N13" s="49"/>
      <c r="O13" s="52"/>
      <c r="P13" s="61"/>
      <c r="Q13" s="49"/>
      <c r="R13" s="49"/>
      <c r="S13" s="49"/>
      <c r="T13" s="52"/>
      <c r="U13" s="49"/>
      <c r="V13" s="49"/>
      <c r="W13" s="52"/>
      <c r="X13" s="52"/>
      <c r="Y13" s="52"/>
      <c r="Z13" s="52"/>
    </row>
    <row r="14" spans="1:26" ht="26.25" thickBot="1" x14ac:dyDescent="0.3">
      <c r="A14" s="59"/>
      <c r="B14" s="20" t="s">
        <v>89</v>
      </c>
      <c r="C14" s="21">
        <v>0</v>
      </c>
      <c r="D14" s="50"/>
      <c r="E14" s="53"/>
      <c r="F14" s="50"/>
      <c r="G14" s="50"/>
      <c r="H14" s="53"/>
      <c r="I14" s="50"/>
      <c r="J14" s="50"/>
      <c r="K14" s="56"/>
      <c r="L14" s="50"/>
      <c r="M14" s="53"/>
      <c r="N14" s="50"/>
      <c r="O14" s="53"/>
      <c r="P14" s="62"/>
      <c r="Q14" s="50"/>
      <c r="R14" s="50"/>
      <c r="S14" s="50"/>
      <c r="T14" s="53"/>
      <c r="U14" s="50"/>
      <c r="V14" s="50"/>
      <c r="W14" s="53"/>
      <c r="X14" s="53"/>
      <c r="Y14" s="53"/>
      <c r="Z14" s="53"/>
    </row>
    <row r="15" spans="1:26" ht="15.75" thickBot="1" x14ac:dyDescent="0.3">
      <c r="A15" s="46" t="s">
        <v>90</v>
      </c>
      <c r="B15" s="47"/>
      <c r="C15" s="22">
        <v>8</v>
      </c>
      <c r="D15" s="23">
        <v>8</v>
      </c>
      <c r="E15" s="24">
        <v>0</v>
      </c>
      <c r="F15" s="23">
        <v>8</v>
      </c>
      <c r="G15" s="23">
        <v>7</v>
      </c>
      <c r="H15" s="24">
        <v>0</v>
      </c>
      <c r="I15" s="23">
        <v>8</v>
      </c>
      <c r="J15" s="23">
        <v>5</v>
      </c>
      <c r="K15" s="24">
        <v>0</v>
      </c>
      <c r="L15" s="23">
        <v>8</v>
      </c>
      <c r="M15" s="24">
        <v>0</v>
      </c>
      <c r="N15" s="23">
        <v>4</v>
      </c>
      <c r="O15" s="24">
        <v>0</v>
      </c>
      <c r="P15" s="39">
        <v>4</v>
      </c>
      <c r="Q15" s="23">
        <v>0</v>
      </c>
      <c r="R15" s="23">
        <v>7</v>
      </c>
      <c r="S15" s="23">
        <v>8</v>
      </c>
      <c r="T15" s="24">
        <v>0</v>
      </c>
      <c r="U15" s="23">
        <v>8</v>
      </c>
      <c r="V15" s="23">
        <v>5</v>
      </c>
      <c r="W15" s="24">
        <v>0</v>
      </c>
      <c r="X15" s="24">
        <v>0</v>
      </c>
      <c r="Y15" s="24">
        <v>0</v>
      </c>
      <c r="Z15" s="24">
        <v>0</v>
      </c>
    </row>
  </sheetData>
  <mergeCells count="97">
    <mergeCell ref="N2:N5"/>
    <mergeCell ref="A2:A5"/>
    <mergeCell ref="D2:D5"/>
    <mergeCell ref="E2:E5"/>
    <mergeCell ref="F2:F5"/>
    <mergeCell ref="G2:G5"/>
    <mergeCell ref="H2:H5"/>
    <mergeCell ref="I2:I5"/>
    <mergeCell ref="J2:J5"/>
    <mergeCell ref="K2:K5"/>
    <mergeCell ref="L2:L5"/>
    <mergeCell ref="M2:M5"/>
    <mergeCell ref="Z2:Z5"/>
    <mergeCell ref="O2:O5"/>
    <mergeCell ref="P2:P5"/>
    <mergeCell ref="Q2:Q5"/>
    <mergeCell ref="R2:R5"/>
    <mergeCell ref="S2:S5"/>
    <mergeCell ref="T2:T5"/>
    <mergeCell ref="U2:U5"/>
    <mergeCell ref="V2:V5"/>
    <mergeCell ref="W2:W5"/>
    <mergeCell ref="X2:X5"/>
    <mergeCell ref="Y2:Y5"/>
    <mergeCell ref="N6:N8"/>
    <mergeCell ref="A6:A8"/>
    <mergeCell ref="D6:D8"/>
    <mergeCell ref="E6:E8"/>
    <mergeCell ref="F6:F8"/>
    <mergeCell ref="G6:G8"/>
    <mergeCell ref="H6:H8"/>
    <mergeCell ref="I6:I8"/>
    <mergeCell ref="J6:J8"/>
    <mergeCell ref="K6:K8"/>
    <mergeCell ref="L6:L8"/>
    <mergeCell ref="M6:M8"/>
    <mergeCell ref="Z6:Z8"/>
    <mergeCell ref="O6:O8"/>
    <mergeCell ref="P6:P8"/>
    <mergeCell ref="Q6:Q8"/>
    <mergeCell ref="R6:R8"/>
    <mergeCell ref="S6:S8"/>
    <mergeCell ref="T6:T8"/>
    <mergeCell ref="U6:U8"/>
    <mergeCell ref="V6:V8"/>
    <mergeCell ref="W6:W8"/>
    <mergeCell ref="X6:X8"/>
    <mergeCell ref="Y6:Y8"/>
    <mergeCell ref="A9:A11"/>
    <mergeCell ref="D9:D11"/>
    <mergeCell ref="E9:E11"/>
    <mergeCell ref="F9:F11"/>
    <mergeCell ref="G9:G11"/>
    <mergeCell ref="Y9:Y11"/>
    <mergeCell ref="Z9:Z11"/>
    <mergeCell ref="O9:O11"/>
    <mergeCell ref="P9:P11"/>
    <mergeCell ref="Q9:Q11"/>
    <mergeCell ref="R9:R11"/>
    <mergeCell ref="S9:S11"/>
    <mergeCell ref="T9:T11"/>
    <mergeCell ref="H12:H14"/>
    <mergeCell ref="U9:U11"/>
    <mergeCell ref="V9:V11"/>
    <mergeCell ref="W9:W11"/>
    <mergeCell ref="X9:X11"/>
    <mergeCell ref="I9:I11"/>
    <mergeCell ref="J9:J11"/>
    <mergeCell ref="K9:K11"/>
    <mergeCell ref="L9:L11"/>
    <mergeCell ref="M9:M11"/>
    <mergeCell ref="N9:N11"/>
    <mergeCell ref="H9:H11"/>
    <mergeCell ref="Y12:Y14"/>
    <mergeCell ref="Z12:Z14"/>
    <mergeCell ref="O12:O14"/>
    <mergeCell ref="P12:P14"/>
    <mergeCell ref="Q12:Q14"/>
    <mergeCell ref="R12:R14"/>
    <mergeCell ref="S12:S14"/>
    <mergeCell ref="T12:T14"/>
    <mergeCell ref="A15:B15"/>
    <mergeCell ref="U12:U14"/>
    <mergeCell ref="V12:V14"/>
    <mergeCell ref="W12:W14"/>
    <mergeCell ref="X12:X14"/>
    <mergeCell ref="I12:I14"/>
    <mergeCell ref="J12:J14"/>
    <mergeCell ref="K12:K14"/>
    <mergeCell ref="L12:L14"/>
    <mergeCell ref="M12:M14"/>
    <mergeCell ref="N12:N14"/>
    <mergeCell ref="A12:A14"/>
    <mergeCell ref="D12:D14"/>
    <mergeCell ref="E12:E14"/>
    <mergeCell ref="F12:F14"/>
    <mergeCell ref="G12:G14"/>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M18" sqref="M18"/>
    </sheetView>
  </sheetViews>
  <sheetFormatPr defaultRowHeight="15" x14ac:dyDescent="0.25"/>
  <cols>
    <col min="1" max="1" width="18.7109375" customWidth="1"/>
    <col min="2" max="2" width="9.140625" customWidth="1"/>
  </cols>
  <sheetData>
    <row r="1" spans="1:3" x14ac:dyDescent="0.25">
      <c r="A1" s="10" t="s">
        <v>50</v>
      </c>
      <c r="B1" s="10">
        <v>8</v>
      </c>
      <c r="C1" s="4"/>
    </row>
    <row r="2" spans="1:3" x14ac:dyDescent="0.25">
      <c r="A2" s="10" t="s">
        <v>51</v>
      </c>
      <c r="B2" s="10">
        <v>8</v>
      </c>
      <c r="C2" s="4"/>
    </row>
    <row r="3" spans="1:3" x14ac:dyDescent="0.25">
      <c r="A3" s="10" t="s">
        <v>52</v>
      </c>
      <c r="B3" s="10">
        <v>7</v>
      </c>
      <c r="C3" s="4"/>
    </row>
    <row r="4" spans="1:3" x14ac:dyDescent="0.25">
      <c r="A4" s="10" t="s">
        <v>53</v>
      </c>
      <c r="B4" s="10">
        <v>8</v>
      </c>
      <c r="C4" s="4"/>
    </row>
    <row r="5" spans="1:3" x14ac:dyDescent="0.25">
      <c r="A5" s="10" t="s">
        <v>54</v>
      </c>
      <c r="B5" s="10">
        <v>5</v>
      </c>
      <c r="C5" s="4"/>
    </row>
    <row r="6" spans="1:3" x14ac:dyDescent="0.25">
      <c r="A6" s="10" t="s">
        <v>55</v>
      </c>
      <c r="B6" s="10">
        <v>8</v>
      </c>
      <c r="C6" s="4"/>
    </row>
    <row r="7" spans="1:3" x14ac:dyDescent="0.25">
      <c r="A7" s="10" t="s">
        <v>56</v>
      </c>
      <c r="B7" s="10">
        <v>4</v>
      </c>
      <c r="C7" s="4"/>
    </row>
    <row r="8" spans="1:3" x14ac:dyDescent="0.25">
      <c r="A8" s="10" t="s">
        <v>65</v>
      </c>
      <c r="B8" s="10">
        <v>4</v>
      </c>
      <c r="C8" s="4"/>
    </row>
    <row r="9" spans="1:3" x14ac:dyDescent="0.25">
      <c r="A9" s="10" t="s">
        <v>57</v>
      </c>
      <c r="B9" s="10">
        <v>7</v>
      </c>
      <c r="C9" s="4"/>
    </row>
    <row r="10" spans="1:3" x14ac:dyDescent="0.25">
      <c r="A10" s="10" t="s">
        <v>58</v>
      </c>
      <c r="B10" s="10">
        <v>8</v>
      </c>
      <c r="C10" s="4"/>
    </row>
    <row r="11" spans="1:3" x14ac:dyDescent="0.25">
      <c r="A11" s="10" t="s">
        <v>59</v>
      </c>
      <c r="B11" s="10">
        <v>8</v>
      </c>
      <c r="C11" s="4"/>
    </row>
    <row r="12" spans="1:3" x14ac:dyDescent="0.25">
      <c r="A12" s="10" t="s">
        <v>49</v>
      </c>
      <c r="B12" s="10">
        <v>5</v>
      </c>
    </row>
  </sheetData>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7" workbookViewId="0">
      <selection activeCell="J24" sqref="J24"/>
    </sheetView>
  </sheetViews>
  <sheetFormatPr defaultRowHeight="15" x14ac:dyDescent="0.25"/>
  <cols>
    <col min="1" max="1" width="23" customWidth="1"/>
    <col min="2" max="2" width="14.5703125" customWidth="1"/>
  </cols>
  <sheetData>
    <row r="1" spans="1:2" x14ac:dyDescent="0.25">
      <c r="B1" s="14"/>
    </row>
    <row r="2" spans="1:2" ht="60" x14ac:dyDescent="0.25">
      <c r="A2" s="12" t="s">
        <v>147</v>
      </c>
      <c r="B2" s="34" t="s">
        <v>148</v>
      </c>
    </row>
    <row r="3" spans="1:2" x14ac:dyDescent="0.25">
      <c r="A3" s="10" t="s">
        <v>50</v>
      </c>
      <c r="B3" s="35">
        <v>2</v>
      </c>
    </row>
    <row r="4" spans="1:2" x14ac:dyDescent="0.25">
      <c r="A4" s="35" t="s">
        <v>60</v>
      </c>
      <c r="B4" s="35">
        <v>0</v>
      </c>
    </row>
    <row r="5" spans="1:2" x14ac:dyDescent="0.25">
      <c r="A5" s="35" t="s">
        <v>51</v>
      </c>
      <c r="B5" s="35">
        <v>2</v>
      </c>
    </row>
    <row r="6" spans="1:2" x14ac:dyDescent="0.25">
      <c r="A6" s="35" t="s">
        <v>52</v>
      </c>
      <c r="B6" s="35">
        <v>2</v>
      </c>
    </row>
    <row r="7" spans="1:2" x14ac:dyDescent="0.25">
      <c r="A7" s="35" t="s">
        <v>61</v>
      </c>
      <c r="B7" s="35">
        <v>0</v>
      </c>
    </row>
    <row r="8" spans="1:2" x14ac:dyDescent="0.25">
      <c r="A8" s="35" t="s">
        <v>53</v>
      </c>
      <c r="B8" s="35">
        <v>2</v>
      </c>
    </row>
    <row r="9" spans="1:2" x14ac:dyDescent="0.25">
      <c r="A9" s="35" t="s">
        <v>54</v>
      </c>
      <c r="B9" s="35">
        <v>2</v>
      </c>
    </row>
    <row r="10" spans="1:2" x14ac:dyDescent="0.25">
      <c r="A10" s="35" t="s">
        <v>62</v>
      </c>
      <c r="B10" s="35">
        <v>0</v>
      </c>
    </row>
    <row r="11" spans="1:2" x14ac:dyDescent="0.25">
      <c r="A11" s="35" t="s">
        <v>55</v>
      </c>
      <c r="B11" s="35">
        <v>2</v>
      </c>
    </row>
    <row r="12" spans="1:2" x14ac:dyDescent="0.25">
      <c r="A12" s="35" t="s">
        <v>63</v>
      </c>
      <c r="B12" s="35">
        <v>0</v>
      </c>
    </row>
    <row r="13" spans="1:2" x14ac:dyDescent="0.25">
      <c r="A13" s="35" t="s">
        <v>56</v>
      </c>
      <c r="B13" s="35">
        <v>2</v>
      </c>
    </row>
    <row r="14" spans="1:2" x14ac:dyDescent="0.25">
      <c r="A14" s="35" t="s">
        <v>64</v>
      </c>
      <c r="B14" s="35">
        <v>0</v>
      </c>
    </row>
    <row r="15" spans="1:2" x14ac:dyDescent="0.25">
      <c r="A15" s="35" t="s">
        <v>65</v>
      </c>
      <c r="B15" s="35">
        <v>0</v>
      </c>
    </row>
    <row r="16" spans="1:2" x14ac:dyDescent="0.25">
      <c r="A16" s="35" t="s">
        <v>68</v>
      </c>
      <c r="B16" s="35">
        <v>0</v>
      </c>
    </row>
    <row r="17" spans="1:2" x14ac:dyDescent="0.25">
      <c r="A17" s="35" t="s">
        <v>57</v>
      </c>
      <c r="B17" s="35">
        <v>2</v>
      </c>
    </row>
    <row r="18" spans="1:2" x14ac:dyDescent="0.25">
      <c r="A18" s="35" t="s">
        <v>58</v>
      </c>
      <c r="B18" s="35">
        <v>2</v>
      </c>
    </row>
    <row r="19" spans="1:2" x14ac:dyDescent="0.25">
      <c r="A19" s="35" t="s">
        <v>69</v>
      </c>
      <c r="B19" s="35">
        <v>2</v>
      </c>
    </row>
    <row r="20" spans="1:2" x14ac:dyDescent="0.25">
      <c r="A20" s="35" t="s">
        <v>70</v>
      </c>
      <c r="B20" s="35">
        <v>2</v>
      </c>
    </row>
    <row r="21" spans="1:2" x14ac:dyDescent="0.25">
      <c r="A21" s="35" t="s">
        <v>49</v>
      </c>
      <c r="B21" s="35">
        <v>2</v>
      </c>
    </row>
    <row r="22" spans="1:2" x14ac:dyDescent="0.25">
      <c r="A22" s="35" t="s">
        <v>71</v>
      </c>
      <c r="B22" s="35">
        <v>0</v>
      </c>
    </row>
    <row r="23" spans="1:2" x14ac:dyDescent="0.25">
      <c r="A23" s="35" t="s">
        <v>72</v>
      </c>
      <c r="B23" s="35">
        <v>0</v>
      </c>
    </row>
    <row r="24" spans="1:2" x14ac:dyDescent="0.25">
      <c r="A24" s="35" t="s">
        <v>73</v>
      </c>
      <c r="B24" s="35">
        <v>0</v>
      </c>
    </row>
    <row r="25" spans="1:2" x14ac:dyDescent="0.25">
      <c r="A25" s="35" t="s">
        <v>74</v>
      </c>
      <c r="B25" s="35">
        <v>0</v>
      </c>
    </row>
    <row r="26" spans="1:2" x14ac:dyDescent="0.25">
      <c r="A26" s="36" t="s">
        <v>149</v>
      </c>
      <c r="B26" s="37">
        <f>COUNTIF(B3:B25,2)/COUNTA(B3:B25)</f>
        <v>0.52173913043478259</v>
      </c>
    </row>
    <row r="27" spans="1:2" x14ac:dyDescent="0.25">
      <c r="A27" s="36" t="s">
        <v>150</v>
      </c>
      <c r="B27" s="37">
        <f>COUNTIF(B3:B25,0)/COUNTA(B3:B25)</f>
        <v>0.47826086956521741</v>
      </c>
    </row>
  </sheetData>
  <pageMargins left="0.511811024" right="0.511811024" top="0.78740157499999996" bottom="0.78740157499999996" header="0.31496062000000002" footer="0.31496062000000002"/>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Quadro 1</vt:lpstr>
      <vt:lpstr>Quadro 2</vt:lpstr>
      <vt:lpstr>Quadro 3</vt:lpstr>
      <vt:lpstr>Controle de envios</vt:lpstr>
      <vt:lpstr>Aplicação dos critérios</vt:lpstr>
      <vt:lpstr>Gráfico 1</vt:lpstr>
      <vt:lpstr>Gráfico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2026-02-01T02:54:39Z</dcterms:created>
  <dcterms:modified xsi:type="dcterms:W3CDTF">2026-02-01T05:42:24Z</dcterms:modified>
</cp:coreProperties>
</file>